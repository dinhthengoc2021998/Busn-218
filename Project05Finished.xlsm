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nht\Downloads\"/>
    </mc:Choice>
  </mc:AlternateContent>
  <xr:revisionPtr revIDLastSave="0" documentId="13_ncr:1_{492A5603-A0B3-41C1-82BC-8422A88ADB8F}" xr6:coauthVersionLast="37" xr6:coauthVersionMax="37" xr10:uidLastSave="{00000000-0000-0000-0000-000000000000}"/>
  <bookViews>
    <workbookView xWindow="0" yWindow="0" windowWidth="24000" windowHeight="8685" activeTab="2" xr2:uid="{00000000-000D-0000-FFFF-FFFF00000000}"/>
  </bookViews>
  <sheets>
    <sheet name="P(1)" sheetId="1" r:id="rId1"/>
    <sheet name="P(2)" sheetId="2" r:id="rId2"/>
    <sheet name="P(3)" sheetId="3" r:id="rId3"/>
    <sheet name="Score" sheetId="7" state="veryHidden" r:id="rId4"/>
    <sheet name="P(1an)" sheetId="4" state="veryHidden" r:id="rId5"/>
    <sheet name="P(2an)" sheetId="5" state="veryHidden" r:id="rId6"/>
    <sheet name="P(3an)" sheetId="6" state="veryHidden" r:id="rId7"/>
  </sheets>
  <calcPr calcId="179021"/>
  <pivotCaches>
    <pivotCache cacheId="4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2" i="3" l="1"/>
  <c r="I13" i="3"/>
  <c r="I14" i="3"/>
  <c r="I15" i="3"/>
  <c r="I16" i="3"/>
  <c r="I17" i="3"/>
  <c r="I18" i="3"/>
  <c r="I19" i="3"/>
  <c r="I20" i="3"/>
  <c r="I11" i="3"/>
  <c r="E11" i="3" a="1"/>
  <c r="E11" i="3" s="1"/>
  <c r="D21" i="3"/>
  <c r="D12" i="3"/>
  <c r="D13" i="3"/>
  <c r="D14" i="3"/>
  <c r="D15" i="3"/>
  <c r="D16" i="3"/>
  <c r="D17" i="3"/>
  <c r="D18" i="3"/>
  <c r="D19" i="3"/>
  <c r="D20" i="3"/>
  <c r="D11" i="3"/>
  <c r="D8" i="3"/>
  <c r="D7" i="3"/>
  <c r="N5" i="2"/>
  <c r="N6" i="2"/>
  <c r="N7" i="2"/>
  <c r="N8" i="2"/>
  <c r="N9" i="2"/>
  <c r="N10" i="2"/>
  <c r="N11" i="2"/>
  <c r="N12" i="2"/>
  <c r="N13" i="2"/>
  <c r="N14" i="2"/>
  <c r="N4" i="2"/>
  <c r="H6" i="1"/>
  <c r="I6" i="1"/>
  <c r="J6" i="1"/>
  <c r="K6" i="1"/>
  <c r="L6" i="1"/>
  <c r="H7" i="1"/>
  <c r="I7" i="1"/>
  <c r="J7" i="1"/>
  <c r="K7" i="1"/>
  <c r="L7" i="1"/>
  <c r="H8" i="1"/>
  <c r="I8" i="1"/>
  <c r="J8" i="1"/>
  <c r="K8" i="1"/>
  <c r="L8" i="1"/>
  <c r="H9" i="1"/>
  <c r="I9" i="1"/>
  <c r="J9" i="1"/>
  <c r="K9" i="1"/>
  <c r="L9" i="1"/>
  <c r="H10" i="1"/>
  <c r="I10" i="1"/>
  <c r="J10" i="1"/>
  <c r="K10" i="1"/>
  <c r="L10" i="1"/>
  <c r="H11" i="1"/>
  <c r="I11" i="1"/>
  <c r="J11" i="1"/>
  <c r="K11" i="1"/>
  <c r="L11" i="1"/>
  <c r="H12" i="1"/>
  <c r="I12" i="1"/>
  <c r="J12" i="1"/>
  <c r="K12" i="1"/>
  <c r="L12" i="1"/>
  <c r="H13" i="1"/>
  <c r="I13" i="1"/>
  <c r="J13" i="1"/>
  <c r="K13" i="1"/>
  <c r="L13" i="1"/>
  <c r="H14" i="1"/>
  <c r="I14" i="1"/>
  <c r="J14" i="1"/>
  <c r="K14" i="1"/>
  <c r="L14" i="1"/>
  <c r="H15" i="1"/>
  <c r="I15" i="1"/>
  <c r="J15" i="1"/>
  <c r="K15" i="1"/>
  <c r="L15" i="1"/>
  <c r="H16" i="1"/>
  <c r="I16" i="1"/>
  <c r="J16" i="1"/>
  <c r="K16" i="1"/>
  <c r="L16" i="1"/>
  <c r="I5" i="1"/>
  <c r="J5" i="1"/>
  <c r="K5" i="1"/>
  <c r="L5" i="1"/>
  <c r="H5" i="1"/>
  <c r="E17" i="3" l="1"/>
  <c r="E13" i="3"/>
  <c r="E21" i="3"/>
  <c r="E14" i="3"/>
  <c r="E20" i="3"/>
  <c r="E16" i="3"/>
  <c r="E12" i="3"/>
  <c r="E18" i="3"/>
  <c r="E19" i="3"/>
  <c r="E15" i="3"/>
  <c r="D9" i="7"/>
  <c r="B9" i="7"/>
  <c r="D8" i="7"/>
  <c r="C8" i="7"/>
  <c r="K7" i="7"/>
  <c r="C7" i="7"/>
  <c r="D7" i="7" s="1"/>
  <c r="K6" i="7"/>
  <c r="C6" i="7"/>
  <c r="D6" i="7" s="1"/>
  <c r="K5" i="7"/>
  <c r="C5" i="7"/>
  <c r="D5" i="7" s="1"/>
  <c r="K4" i="7"/>
  <c r="C4" i="7"/>
  <c r="D4" i="7" s="1"/>
  <c r="K3" i="7"/>
  <c r="C3" i="7"/>
  <c r="D3" i="7" s="1"/>
  <c r="K2" i="7"/>
  <c r="C2" i="7"/>
  <c r="D2" i="7" s="1"/>
  <c r="C10" i="7" l="1"/>
  <c r="E43" i="6" l="1"/>
  <c r="F43" i="6" s="1"/>
  <c r="C21" i="6"/>
  <c r="C20" i="6"/>
  <c r="C19" i="6"/>
  <c r="C18" i="6"/>
  <c r="C17" i="6"/>
  <c r="C16" i="6"/>
  <c r="C15" i="6"/>
  <c r="C14" i="6"/>
  <c r="C13" i="6"/>
  <c r="C12" i="6"/>
  <c r="E11" i="6" a="1"/>
  <c r="E17" i="6" s="1"/>
  <c r="C11" i="6"/>
  <c r="D8" i="6"/>
  <c r="D7" i="6"/>
  <c r="A3" i="6"/>
  <c r="L16" i="4"/>
  <c r="K16" i="4"/>
  <c r="J16" i="4"/>
  <c r="I16" i="4"/>
  <c r="H16" i="4"/>
  <c r="F16" i="4"/>
  <c r="L15" i="4"/>
  <c r="K15" i="4"/>
  <c r="J15" i="4"/>
  <c r="I15" i="4"/>
  <c r="H15" i="4"/>
  <c r="F15" i="4"/>
  <c r="L14" i="4"/>
  <c r="K14" i="4"/>
  <c r="J14" i="4"/>
  <c r="I14" i="4"/>
  <c r="H14" i="4"/>
  <c r="F14" i="4"/>
  <c r="L13" i="4"/>
  <c r="K13" i="4"/>
  <c r="J13" i="4"/>
  <c r="I13" i="4"/>
  <c r="H13" i="4"/>
  <c r="F13" i="4"/>
  <c r="L12" i="4"/>
  <c r="K12" i="4"/>
  <c r="J12" i="4"/>
  <c r="I12" i="4"/>
  <c r="H12" i="4"/>
  <c r="F12" i="4"/>
  <c r="L11" i="4"/>
  <c r="K11" i="4"/>
  <c r="J11" i="4"/>
  <c r="I11" i="4"/>
  <c r="H11" i="4"/>
  <c r="F11" i="4"/>
  <c r="L10" i="4"/>
  <c r="K10" i="4"/>
  <c r="J10" i="4"/>
  <c r="I10" i="4"/>
  <c r="H10" i="4"/>
  <c r="F10" i="4"/>
  <c r="L9" i="4"/>
  <c r="K9" i="4"/>
  <c r="J9" i="4"/>
  <c r="I9" i="4"/>
  <c r="H9" i="4"/>
  <c r="F9" i="4"/>
  <c r="L8" i="4"/>
  <c r="K8" i="4"/>
  <c r="J8" i="4"/>
  <c r="I8" i="4"/>
  <c r="H8" i="4"/>
  <c r="F8" i="4"/>
  <c r="L7" i="4"/>
  <c r="K7" i="4"/>
  <c r="J7" i="4"/>
  <c r="I7" i="4"/>
  <c r="H7" i="4"/>
  <c r="F7" i="4"/>
  <c r="L6" i="4"/>
  <c r="K6" i="4"/>
  <c r="J6" i="4"/>
  <c r="I6" i="4"/>
  <c r="H6" i="4"/>
  <c r="F6" i="4"/>
  <c r="L5" i="4"/>
  <c r="K5" i="4"/>
  <c r="J5" i="4"/>
  <c r="I5" i="4"/>
  <c r="H5" i="4"/>
  <c r="F5" i="4"/>
  <c r="D44" i="6" l="1"/>
  <c r="E44" i="6" s="1"/>
  <c r="C43" i="6"/>
  <c r="E14" i="6"/>
  <c r="E18" i="6"/>
  <c r="E11" i="6"/>
  <c r="E15" i="6"/>
  <c r="E19" i="6"/>
  <c r="E12" i="6"/>
  <c r="E16" i="6"/>
  <c r="E20" i="6"/>
  <c r="E13" i="6"/>
  <c r="F16" i="1"/>
  <c r="F15" i="1"/>
  <c r="F14" i="1"/>
  <c r="F13" i="1"/>
  <c r="F12" i="1"/>
  <c r="F11" i="1"/>
  <c r="F10" i="1"/>
  <c r="F9" i="1"/>
  <c r="F8" i="1"/>
  <c r="F7" i="1"/>
  <c r="F6" i="1"/>
  <c r="F5" i="1"/>
  <c r="F44" i="6" l="1"/>
  <c r="D45" i="6"/>
  <c r="C44" i="6"/>
  <c r="E45" i="6"/>
  <c r="D46" i="6" s="1"/>
  <c r="C45" i="6" l="1"/>
  <c r="E46" i="6"/>
  <c r="D47" i="6" s="1"/>
  <c r="F45" i="6"/>
  <c r="C46" i="6" l="1"/>
  <c r="E47" i="6"/>
  <c r="C47" i="6" s="1"/>
  <c r="F46" i="6"/>
  <c r="F47" i="6" l="1"/>
  <c r="D48" i="6"/>
  <c r="E48" i="6"/>
  <c r="D49" i="6" s="1"/>
  <c r="C48" i="6" l="1"/>
  <c r="E49" i="6"/>
  <c r="D50" i="6" s="1"/>
  <c r="F48" i="6"/>
  <c r="C49" i="6" l="1"/>
  <c r="E50" i="6"/>
  <c r="D51" i="6" s="1"/>
  <c r="F49" i="6"/>
  <c r="C50" i="6" l="1"/>
  <c r="F50" i="6"/>
  <c r="E51" i="6"/>
  <c r="D52" i="6" s="1"/>
  <c r="C51" i="6" l="1"/>
  <c r="E52" i="6"/>
  <c r="D53" i="6" s="1"/>
  <c r="C53" i="6" s="1"/>
  <c r="F51" i="6"/>
  <c r="C52" i="6" l="1"/>
  <c r="E53" i="6"/>
  <c r="F53" i="6" s="1"/>
  <c r="F52" i="6"/>
</calcChain>
</file>

<file path=xl/sharedStrings.xml><?xml version="1.0" encoding="utf-8"?>
<sst xmlns="http://schemas.openxmlformats.org/spreadsheetml/2006/main" count="110" uniqueCount="72">
  <si>
    <t>Crank'ys</t>
  </si>
  <si>
    <t>Bay Air</t>
  </si>
  <si>
    <t>Compressor R Us</t>
  </si>
  <si>
    <t>Mech-Aid</t>
  </si>
  <si>
    <t>Han's Shop</t>
  </si>
  <si>
    <t>Vendor for Low Bid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</si>
  <si>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</si>
  <si>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</si>
  <si>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</si>
  <si>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</si>
  <si>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</si>
  <si>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</si>
  <si>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</si>
  <si>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</si>
  <si>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</si>
  <si>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</si>
  <si>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Product 1</t>
  </si>
  <si>
    <t>Product 2</t>
  </si>
  <si>
    <t>Product 3</t>
  </si>
  <si>
    <t>Product 4</t>
  </si>
  <si>
    <t>Product 5</t>
  </si>
  <si>
    <t>Product 6</t>
  </si>
  <si>
    <t>Product 7</t>
  </si>
  <si>
    <t>Product 8</t>
  </si>
  <si>
    <t>Product 9</t>
  </si>
  <si>
    <t>Product 10</t>
  </si>
  <si>
    <t>Product 11</t>
  </si>
  <si>
    <t>Test Scores</t>
  </si>
  <si>
    <t>In the range A5:E16, add Conditional Formatting to format the lowest price in row</t>
  </si>
  <si>
    <t>In the range A5:A15, add Conditional Formatting to the project name that has had no numbers entered in the row.</t>
  </si>
  <si>
    <t>Create a Histogram Chart that shows the count or frequency for student scores.</t>
  </si>
  <si>
    <t>You will first have to create a solution to count student scores between upper and lower limits such as 0 up to 10, 10 up to 20, and so on.</t>
  </si>
  <si>
    <t>You can use whichever method you would like for counting: FREQUENCY function, COUNTIFS function, PivotTable.</t>
  </si>
  <si>
    <t>After you have your count or frequency for student scores (Frequency Distribution), then you can create a Histogram Chart.</t>
  </si>
  <si>
    <t>Min</t>
  </si>
  <si>
    <t>Max</t>
  </si>
  <si>
    <t>Class Limits</t>
  </si>
  <si>
    <t>Frequency</t>
  </si>
  <si>
    <t>Histogram Chart Count of Student Scores</t>
  </si>
  <si>
    <t>Score Upper Limit</t>
  </si>
  <si>
    <t>Row Labels</t>
  </si>
  <si>
    <t>Grand Total</t>
  </si>
  <si>
    <t>1-10</t>
  </si>
  <si>
    <t>11-20</t>
  </si>
  <si>
    <t>21-30</t>
  </si>
  <si>
    <t>31-40</t>
  </si>
  <si>
    <t>41-50</t>
  </si>
  <si>
    <t>51-60</t>
  </si>
  <si>
    <t>61-70</t>
  </si>
  <si>
    <t>71-80</t>
  </si>
  <si>
    <t>81-90</t>
  </si>
  <si>
    <t>91-100</t>
  </si>
  <si>
    <t>Count of Test Scores</t>
  </si>
  <si>
    <t>Increment</t>
  </si>
  <si>
    <t>Score Lower Limit</t>
  </si>
  <si>
    <t>Be sure to create enough classes with upper and lower limits so that all values will be counted given that the Min = 6 and the Max = 98.</t>
  </si>
  <si>
    <t>Graded Element</t>
  </si>
  <si>
    <t>Possible Points</t>
  </si>
  <si>
    <t>Your Points</t>
  </si>
  <si>
    <t>Comments</t>
  </si>
  <si>
    <t>Total Possible:</t>
  </si>
  <si>
    <t>Conditional Formatting for smallest in each row like: =MIN($A5:$E5)=A5</t>
  </si>
  <si>
    <t>Conditional Formatting for rows with nothing like:  =NOT(COUNTA(B4:K4))</t>
  </si>
  <si>
    <t>Frequency Distribution</t>
  </si>
  <si>
    <t>Histogram</t>
  </si>
  <si>
    <t>In the range A4:A14, add Conditional Formatting to the project name that has had no numbers entered in the row.</t>
  </si>
  <si>
    <t>Min Scores</t>
  </si>
  <si>
    <t>Max Scores</t>
  </si>
  <si>
    <t>Category</t>
  </si>
  <si>
    <t>Lower Limited</t>
  </si>
  <si>
    <t>Upper Limited</t>
  </si>
  <si>
    <t>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</si>
</sst>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2" borderId="1" xfId="0" applyFont="1" applyFill="1" applyBorder="1"/>
    <xf numFmtId="0" fontId="2" fillId="3" borderId="1" xfId="0" applyFont="1" applyFill="1" applyBorder="1" applyAlignment="1">
      <alignment wrapText="1"/>
    </xf>
    <xf numFmtId="8" fontId="0" fillId="0" borderId="1" xfId="0" applyNumberFormat="1" applyBorder="1"/>
    <xf numFmtId="0" fontId="0" fillId="4" borderId="1" xfId="0" applyFill="1" applyBorder="1"/>
    <xf numFmtId="8" fontId="0" fillId="0" borderId="0" xfId="0" applyNumberFormat="1"/>
    <xf numFmtId="0" fontId="0" fillId="0" borderId="1" xfId="0" applyBorder="1"/>
    <xf numFmtId="0" fontId="1" fillId="0" borderId="1" xfId="0" applyFont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pivotButton="1"/>
    <xf numFmtId="0" fontId="0" fillId="0" borderId="0" xfId="0" applyNumberFormat="1"/>
    <xf numFmtId="0" fontId="2" fillId="2" borderId="1" xfId="0" applyFont="1" applyFill="1" applyBorder="1" applyAlignment="1">
      <alignment wrapText="1"/>
    </xf>
    <xf numFmtId="0" fontId="0" fillId="0" borderId="1" xfId="0" applyBorder="1" applyAlignment="1">
      <alignment wrapText="1"/>
    </xf>
    <xf numFmtId="0" fontId="4" fillId="0" borderId="0" xfId="0" applyFont="1"/>
    <xf numFmtId="0" fontId="1" fillId="0" borderId="0" xfId="0" applyFont="1" applyAlignment="1">
      <alignment horizontal="right"/>
    </xf>
    <xf numFmtId="0" fontId="3" fillId="2" borderId="1" xfId="0" applyFont="1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5" borderId="0" xfId="0" applyFill="1" applyBorder="1"/>
    <xf numFmtId="0" fontId="0" fillId="5" borderId="9" xfId="0" applyFill="1" applyBorder="1"/>
    <xf numFmtId="0" fontId="0" fillId="5" borderId="10" xfId="0" applyFill="1" applyBorder="1"/>
    <xf numFmtId="0" fontId="0" fillId="5" borderId="11" xfId="0" applyFill="1" applyBorder="1"/>
    <xf numFmtId="0" fontId="0" fillId="5" borderId="12" xfId="0" applyFill="1" applyBorder="1"/>
    <xf numFmtId="0" fontId="5" fillId="6" borderId="1" xfId="0" applyFont="1" applyFill="1" applyBorder="1"/>
  </cellXfs>
  <cellStyles count="1">
    <cellStyle name="Normal" xfId="0" builtinId="0"/>
  </cellStyles>
  <dxfs count="9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'P(3)'!$E$10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tx1">
                  <a:lumMod val="95000"/>
                  <a:lumOff val="5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'P(3)'!$D$11:$D$21</c:f>
              <c:strCache>
                <c:ptCount val="11"/>
                <c:pt idx="0">
                  <c:v>0 &lt;= TS &lt; 10</c:v>
                </c:pt>
                <c:pt idx="1">
                  <c:v>10 &lt;= TS &lt; 20</c:v>
                </c:pt>
                <c:pt idx="2">
                  <c:v>20 &lt;= TS &lt; 30</c:v>
                </c:pt>
                <c:pt idx="3">
                  <c:v>30 &lt;= TS &lt; 40</c:v>
                </c:pt>
                <c:pt idx="4">
                  <c:v>40 &lt;= TS &lt; 50</c:v>
                </c:pt>
                <c:pt idx="5">
                  <c:v>50 &lt;= TS &lt; 60</c:v>
                </c:pt>
                <c:pt idx="6">
                  <c:v>60 &lt;= TS &lt; 70</c:v>
                </c:pt>
                <c:pt idx="7">
                  <c:v>70 &lt;= TS &lt; 80</c:v>
                </c:pt>
                <c:pt idx="8">
                  <c:v>80 &lt;= TS &lt; 90</c:v>
                </c:pt>
                <c:pt idx="9">
                  <c:v>90 &lt;= TS &lt; 100</c:v>
                </c:pt>
                <c:pt idx="10">
                  <c:v>100 &lt;= TS</c:v>
                </c:pt>
              </c:strCache>
            </c:strRef>
          </c:cat>
          <c:val>
            <c:numRef>
              <c:f>'P(3)'!$E$11:$E$21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1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9</c:v>
                </c:pt>
                <c:pt idx="8">
                  <c:v>15</c:v>
                </c:pt>
                <c:pt idx="9">
                  <c:v>8</c:v>
                </c:pt>
                <c:pt idx="1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E1-41C5-A2F2-894FBF662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39951712"/>
        <c:axId val="1339790608"/>
      </c:barChart>
      <c:catAx>
        <c:axId val="13995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790608"/>
        <c:crosses val="autoZero"/>
        <c:auto val="1"/>
        <c:lblAlgn val="ctr"/>
        <c:lblOffset val="100"/>
        <c:noMultiLvlLbl val="0"/>
      </c:catAx>
      <c:valAx>
        <c:axId val="13397906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995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'P(3an)'!$G$9</c:f>
          <c:strCache>
            <c:ptCount val="1"/>
            <c:pt idx="0">
              <c:v>Histogram Chart Count of Student Scores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'P(3an)'!$E$10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'P(3an)'!$D$11:$D$20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'P(3an)'!$E$11:$E$20</c:f>
              <c:numCache>
                <c:formatCode>General</c:formatCode>
                <c:ptCount val="10"/>
                <c:pt idx="0">
                  <c:v>1</c:v>
                </c:pt>
                <c:pt idx="1">
                  <c:v>6</c:v>
                </c:pt>
                <c:pt idx="2">
                  <c:v>1</c:v>
                </c:pt>
                <c:pt idx="3">
                  <c:v>4</c:v>
                </c:pt>
                <c:pt idx="4">
                  <c:v>5</c:v>
                </c:pt>
                <c:pt idx="5">
                  <c:v>5</c:v>
                </c:pt>
                <c:pt idx="6">
                  <c:v>9</c:v>
                </c:pt>
                <c:pt idx="7">
                  <c:v>15</c:v>
                </c:pt>
                <c:pt idx="8">
                  <c:v>8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6D-4FB9-8E1E-ADB17BAE132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27"/>
        <c:axId val="484028288"/>
        <c:axId val="281079344"/>
      </c:barChart>
      <c:catAx>
        <c:axId val="484028288"/>
        <c:scaling>
          <c:orientation val="minMax"/>
        </c:scaling>
        <c:delete val="0"/>
        <c:axPos val="b"/>
        <c:title>
          <c:tx>
            <c:strRef>
              <c:f>'P(3an)'!$D$10</c:f>
              <c:strCache>
                <c:ptCount val="1"/>
                <c:pt idx="0">
                  <c:v>Score Upper Limit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079344"/>
        <c:crosses val="autoZero"/>
        <c:auto val="1"/>
        <c:lblAlgn val="ctr"/>
        <c:lblOffset val="100"/>
        <c:noMultiLvlLbl val="0"/>
      </c:catAx>
      <c:valAx>
        <c:axId val="28107934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484028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/>
    </cs:fontRef>
    <cs:defRPr sz="1000" kern="1200"/>
  </cs:axisTitle>
  <cs:categoryAxis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9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/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/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/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/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/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521805</xdr:colOff>
      <xdr:row>24</xdr:row>
      <xdr:rowOff>69574</xdr:rowOff>
    </xdr:from>
    <xdr:to>
      <xdr:col>6</xdr:col>
      <xdr:colOff>414132</xdr:colOff>
      <xdr:row>41</xdr:row>
      <xdr:rowOff>99391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B595A91-F8C5-45AF-A720-78E8E6B8F4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381000</xdr:colOff>
      <xdr:row>10</xdr:row>
      <xdr:rowOff>44726</xdr:rowOff>
    </xdr:from>
    <xdr:to>
      <xdr:col>14</xdr:col>
      <xdr:colOff>207066</xdr:colOff>
      <xdr:row>24</xdr:row>
      <xdr:rowOff>120926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2513.66050578704" createdVersion="6" refreshedVersion="6" minRefreshableVersion="3" recordCount="59" xr:uid="{00000000-000A-0000-FFFF-FFFF00000000}">
  <cacheSource type="worksheet">
    <worksheetSource ref="A7:A66" sheet="P(3an)"/>
  </cacheSource>
  <cacheFields count="1">
    <cacheField name="Test Scores" numFmtId="0">
      <sharedItems containsSemiMixedTypes="0" containsString="0" containsNumber="1" containsInteger="1" minValue="6" maxValue="98" count="42">
        <n v="19"/>
        <n v="25"/>
        <n v="85"/>
        <n v="74"/>
        <n v="69"/>
        <n v="42"/>
        <n v="35"/>
        <n v="76"/>
        <n v="61"/>
        <n v="71"/>
        <n v="73"/>
        <n v="51"/>
        <n v="75"/>
        <n v="48"/>
        <n v="13"/>
        <n v="82"/>
        <n v="67"/>
        <n v="81"/>
        <n v="57"/>
        <n v="98"/>
        <n v="86"/>
        <n v="83"/>
        <n v="89"/>
        <n v="97"/>
        <n v="80"/>
        <n v="40"/>
        <n v="6"/>
        <n v="50"/>
        <n v="49"/>
        <n v="77"/>
        <n v="56"/>
        <n v="20"/>
        <n v="70"/>
        <n v="96"/>
        <n v="18"/>
        <n v="62"/>
        <n v="63"/>
        <n v="68"/>
        <n v="53"/>
        <n v="72"/>
        <n v="79"/>
        <n v="55"/>
      </sharedItems>
      <fieldGroup base="0">
        <rangePr autoStart="0" autoEnd="0" startNum="1" endNum="100" groupInterval="10"/>
        <groupItems count="12">
          <s v="&lt;1"/>
          <s v="1-10"/>
          <s v="11-20"/>
          <s v="21-30"/>
          <s v="31-40"/>
          <s v="41-50"/>
          <s v="51-60"/>
          <s v="61-70"/>
          <s v="71-80"/>
          <s v="81-90"/>
          <s v="91-100"/>
          <s v="&gt;10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9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3"/>
  </r>
  <r>
    <x v="11"/>
  </r>
  <r>
    <x v="12"/>
  </r>
  <r>
    <x v="13"/>
  </r>
  <r>
    <x v="14"/>
  </r>
  <r>
    <x v="15"/>
  </r>
  <r>
    <x v="4"/>
  </r>
  <r>
    <x v="16"/>
  </r>
  <r>
    <x v="17"/>
  </r>
  <r>
    <x v="14"/>
  </r>
  <r>
    <x v="18"/>
  </r>
  <r>
    <x v="19"/>
  </r>
  <r>
    <x v="20"/>
  </r>
  <r>
    <x v="21"/>
  </r>
  <r>
    <x v="22"/>
  </r>
  <r>
    <x v="23"/>
  </r>
  <r>
    <x v="24"/>
  </r>
  <r>
    <x v="12"/>
  </r>
  <r>
    <x v="25"/>
  </r>
  <r>
    <x v="26"/>
  </r>
  <r>
    <x v="9"/>
  </r>
  <r>
    <x v="27"/>
  </r>
  <r>
    <x v="28"/>
  </r>
  <r>
    <x v="29"/>
  </r>
  <r>
    <x v="12"/>
  </r>
  <r>
    <x v="30"/>
  </r>
  <r>
    <x v="31"/>
  </r>
  <r>
    <x v="14"/>
  </r>
  <r>
    <x v="6"/>
  </r>
  <r>
    <x v="32"/>
  </r>
  <r>
    <x v="33"/>
  </r>
  <r>
    <x v="34"/>
  </r>
  <r>
    <x v="35"/>
  </r>
  <r>
    <x v="19"/>
  </r>
  <r>
    <x v="36"/>
  </r>
  <r>
    <x v="28"/>
  </r>
  <r>
    <x v="32"/>
  </r>
  <r>
    <x v="37"/>
  </r>
  <r>
    <x v="21"/>
  </r>
  <r>
    <x v="21"/>
  </r>
  <r>
    <x v="38"/>
  </r>
  <r>
    <x v="39"/>
  </r>
  <r>
    <x v="25"/>
  </r>
  <r>
    <x v="7"/>
  </r>
  <r>
    <x v="19"/>
  </r>
  <r>
    <x v="9"/>
  </r>
  <r>
    <x v="40"/>
  </r>
  <r>
    <x v="4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C27:D38" firstHeaderRow="1" firstDataRow="1" firstDataCol="1"/>
  <pivotFields count="1">
    <pivotField axis="axisRow" dataField="1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</pivotFields>
  <rowFields count="1">
    <field x="0"/>
  </rowFields>
  <rowItems count="11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Count of Test Score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00FF"/>
  </sheetPr>
  <dimension ref="A1:L16"/>
  <sheetViews>
    <sheetView zoomScale="145" zoomScaleNormal="145" workbookViewId="0">
      <selection activeCell="C8" sqref="C8"/>
    </sheetView>
  </sheetViews>
  <sheetFormatPr defaultRowHeight="15" x14ac:dyDescent="0.25"/>
  <cols>
    <col min="1" max="2" width="13.7109375" customWidth="1"/>
    <col min="3" max="3" width="15.7109375" customWidth="1"/>
    <col min="4" max="5" width="13.7109375" customWidth="1"/>
    <col min="6" max="6" width="18.28515625" customWidth="1"/>
  </cols>
  <sheetData>
    <row r="1" spans="1:12" x14ac:dyDescent="0.25">
      <c r="A1" s="8" t="s">
        <v>28</v>
      </c>
      <c r="B1" s="9"/>
      <c r="C1" s="9"/>
      <c r="D1" s="9"/>
      <c r="E1" s="9"/>
      <c r="F1" s="10"/>
    </row>
    <row r="4" spans="1:12" x14ac:dyDescent="0.25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2" t="s">
        <v>5</v>
      </c>
    </row>
    <row r="5" spans="1:12" x14ac:dyDescent="0.25">
      <c r="A5" s="3">
        <v>38.99</v>
      </c>
      <c r="B5" s="3">
        <v>48.6</v>
      </c>
      <c r="C5" s="3">
        <v>43.53</v>
      </c>
      <c r="D5" s="3">
        <v>40.08</v>
      </c>
      <c r="E5" s="3">
        <v>47.92</v>
      </c>
      <c r="F5" s="4" t="str">
        <f>INDEX($A$4:$E$4,MATCH(MIN(A5:E5),A5:E5,0))</f>
        <v>Crank'ys</v>
      </c>
      <c r="H5" s="3" t="b">
        <f>MIN($A5:$E5)=A5</f>
        <v>1</v>
      </c>
      <c r="I5" s="3" t="b">
        <f t="shared" ref="I5:L5" si="0">MIN($A5:$E5)=B5</f>
        <v>0</v>
      </c>
      <c r="J5" s="3" t="b">
        <f t="shared" si="0"/>
        <v>0</v>
      </c>
      <c r="K5" s="3" t="b">
        <f t="shared" si="0"/>
        <v>0</v>
      </c>
      <c r="L5" s="3" t="b">
        <f t="shared" si="0"/>
        <v>0</v>
      </c>
    </row>
    <row r="6" spans="1:12" x14ac:dyDescent="0.25">
      <c r="A6" s="3">
        <v>57.68</v>
      </c>
      <c r="B6" s="3">
        <v>31.8</v>
      </c>
      <c r="C6" s="3">
        <v>52.78</v>
      </c>
      <c r="D6" s="3">
        <v>31.42</v>
      </c>
      <c r="E6" s="3">
        <v>55.19</v>
      </c>
      <c r="F6" s="4" t="str">
        <f t="shared" ref="F6:F16" si="1">INDEX($A$4:$E$4,MATCH(MIN(A6:E6),A6:E6,0))</f>
        <v>Mech-Aid</v>
      </c>
      <c r="H6" s="3" t="b">
        <f t="shared" ref="H6:H16" si="2">MIN($A6:$E6)=A6</f>
        <v>0</v>
      </c>
      <c r="I6" s="3" t="b">
        <f t="shared" ref="I6:I16" si="3">MIN($A6:$E6)=B6</f>
        <v>0</v>
      </c>
      <c r="J6" s="3" t="b">
        <f t="shared" ref="J6:J16" si="4">MIN($A6:$E6)=C6</f>
        <v>0</v>
      </c>
      <c r="K6" s="3" t="b">
        <f t="shared" ref="K6:K16" si="5">MIN($A6:$E6)=D6</f>
        <v>1</v>
      </c>
      <c r="L6" s="3" t="b">
        <f t="shared" ref="L6:L16" si="6">MIN($A6:$E6)=E6</f>
        <v>0</v>
      </c>
    </row>
    <row r="7" spans="1:12" x14ac:dyDescent="0.25">
      <c r="A7" s="3">
        <v>53.32</v>
      </c>
      <c r="B7" s="3">
        <v>32.64</v>
      </c>
      <c r="C7" s="3">
        <v>37.69</v>
      </c>
      <c r="D7" s="3">
        <v>48.29</v>
      </c>
      <c r="E7" s="3">
        <v>41.59</v>
      </c>
      <c r="F7" s="4" t="str">
        <f t="shared" si="1"/>
        <v>Bay Air</v>
      </c>
      <c r="H7" s="3" t="b">
        <f t="shared" si="2"/>
        <v>0</v>
      </c>
      <c r="I7" s="3" t="b">
        <f t="shared" si="3"/>
        <v>1</v>
      </c>
      <c r="J7" s="3" t="b">
        <f t="shared" si="4"/>
        <v>0</v>
      </c>
      <c r="K7" s="3" t="b">
        <f t="shared" si="5"/>
        <v>0</v>
      </c>
      <c r="L7" s="3" t="b">
        <f t="shared" si="6"/>
        <v>0</v>
      </c>
    </row>
    <row r="8" spans="1:12" x14ac:dyDescent="0.25">
      <c r="A8" s="3">
        <v>35.200000000000003</v>
      </c>
      <c r="B8" s="3">
        <v>40.549999999999997</v>
      </c>
      <c r="C8" s="3">
        <v>32.65</v>
      </c>
      <c r="D8" s="3">
        <v>36.81</v>
      </c>
      <c r="E8" s="3">
        <v>41.14</v>
      </c>
      <c r="F8" s="4" t="str">
        <f t="shared" si="1"/>
        <v>Compressor R Us</v>
      </c>
      <c r="H8" s="3" t="b">
        <f t="shared" si="2"/>
        <v>0</v>
      </c>
      <c r="I8" s="3" t="b">
        <f t="shared" si="3"/>
        <v>0</v>
      </c>
      <c r="J8" s="3" t="b">
        <f t="shared" si="4"/>
        <v>1</v>
      </c>
      <c r="K8" s="3" t="b">
        <f t="shared" si="5"/>
        <v>0</v>
      </c>
      <c r="L8" s="3" t="b">
        <f t="shared" si="6"/>
        <v>0</v>
      </c>
    </row>
    <row r="9" spans="1:12" x14ac:dyDescent="0.25">
      <c r="A9" s="3">
        <v>56.72</v>
      </c>
      <c r="B9" s="3">
        <v>47.16</v>
      </c>
      <c r="C9" s="3">
        <v>36.42</v>
      </c>
      <c r="D9" s="3">
        <v>49.56</v>
      </c>
      <c r="E9" s="3">
        <v>39.25</v>
      </c>
      <c r="F9" s="4" t="str">
        <f t="shared" si="1"/>
        <v>Compressor R Us</v>
      </c>
      <c r="H9" s="3" t="b">
        <f t="shared" si="2"/>
        <v>0</v>
      </c>
      <c r="I9" s="3" t="b">
        <f t="shared" si="3"/>
        <v>0</v>
      </c>
      <c r="J9" s="3" t="b">
        <f t="shared" si="4"/>
        <v>1</v>
      </c>
      <c r="K9" s="3" t="b">
        <f t="shared" si="5"/>
        <v>0</v>
      </c>
      <c r="L9" s="3" t="b">
        <f t="shared" si="6"/>
        <v>0</v>
      </c>
    </row>
    <row r="10" spans="1:12" x14ac:dyDescent="0.25">
      <c r="A10" s="3">
        <v>47.91</v>
      </c>
      <c r="B10" s="3">
        <v>35.08</v>
      </c>
      <c r="C10" s="3">
        <v>51.129999999999995</v>
      </c>
      <c r="D10" s="3">
        <v>49.84</v>
      </c>
      <c r="E10" s="3">
        <v>42.12</v>
      </c>
      <c r="F10" s="4" t="str">
        <f t="shared" si="1"/>
        <v>Bay Air</v>
      </c>
      <c r="H10" s="3" t="b">
        <f t="shared" si="2"/>
        <v>0</v>
      </c>
      <c r="I10" s="3" t="b">
        <f t="shared" si="3"/>
        <v>1</v>
      </c>
      <c r="J10" s="3" t="b">
        <f t="shared" si="4"/>
        <v>0</v>
      </c>
      <c r="K10" s="3" t="b">
        <f t="shared" si="5"/>
        <v>0</v>
      </c>
      <c r="L10" s="3" t="b">
        <f t="shared" si="6"/>
        <v>0</v>
      </c>
    </row>
    <row r="11" spans="1:12" x14ac:dyDescent="0.25">
      <c r="A11" s="3">
        <v>34.81</v>
      </c>
      <c r="B11" s="3">
        <v>35.11</v>
      </c>
      <c r="C11" s="3">
        <v>48.629999999999995</v>
      </c>
      <c r="D11" s="3">
        <v>33.32</v>
      </c>
      <c r="E11" s="3">
        <v>37.83</v>
      </c>
      <c r="F11" s="4" t="str">
        <f t="shared" si="1"/>
        <v>Mech-Aid</v>
      </c>
      <c r="H11" s="3" t="b">
        <f t="shared" si="2"/>
        <v>0</v>
      </c>
      <c r="I11" s="3" t="b">
        <f t="shared" si="3"/>
        <v>0</v>
      </c>
      <c r="J11" s="3" t="b">
        <f t="shared" si="4"/>
        <v>0</v>
      </c>
      <c r="K11" s="3" t="b">
        <f t="shared" si="5"/>
        <v>1</v>
      </c>
      <c r="L11" s="3" t="b">
        <f t="shared" si="6"/>
        <v>0</v>
      </c>
    </row>
    <row r="12" spans="1:12" x14ac:dyDescent="0.25">
      <c r="A12" s="3">
        <v>42.25</v>
      </c>
      <c r="B12" s="3">
        <v>35.76</v>
      </c>
      <c r="C12" s="3">
        <v>58.6</v>
      </c>
      <c r="D12" s="3">
        <v>46.28</v>
      </c>
      <c r="E12" s="3">
        <v>40.53</v>
      </c>
      <c r="F12" s="4" t="str">
        <f t="shared" si="1"/>
        <v>Bay Air</v>
      </c>
      <c r="H12" s="3" t="b">
        <f t="shared" si="2"/>
        <v>0</v>
      </c>
      <c r="I12" s="3" t="b">
        <f t="shared" si="3"/>
        <v>1</v>
      </c>
      <c r="J12" s="3" t="b">
        <f t="shared" si="4"/>
        <v>0</v>
      </c>
      <c r="K12" s="3" t="b">
        <f t="shared" si="5"/>
        <v>0</v>
      </c>
      <c r="L12" s="3" t="b">
        <f t="shared" si="6"/>
        <v>0</v>
      </c>
    </row>
    <row r="13" spans="1:12" x14ac:dyDescent="0.25">
      <c r="A13" s="3">
        <v>40.14</v>
      </c>
      <c r="B13" s="3">
        <v>42.31</v>
      </c>
      <c r="C13" s="3">
        <v>37.619999999999997</v>
      </c>
      <c r="D13" s="3">
        <v>59.97</v>
      </c>
      <c r="E13" s="3">
        <v>42.57</v>
      </c>
      <c r="F13" s="4" t="str">
        <f t="shared" si="1"/>
        <v>Compressor R Us</v>
      </c>
      <c r="H13" s="3" t="b">
        <f t="shared" si="2"/>
        <v>0</v>
      </c>
      <c r="I13" s="3" t="b">
        <f t="shared" si="3"/>
        <v>0</v>
      </c>
      <c r="J13" s="3" t="b">
        <f t="shared" si="4"/>
        <v>1</v>
      </c>
      <c r="K13" s="3" t="b">
        <f t="shared" si="5"/>
        <v>0</v>
      </c>
      <c r="L13" s="3" t="b">
        <f t="shared" si="6"/>
        <v>0</v>
      </c>
    </row>
    <row r="14" spans="1:12" x14ac:dyDescent="0.25">
      <c r="A14" s="3">
        <v>36.480000000000004</v>
      </c>
      <c r="B14" s="3">
        <v>40.79</v>
      </c>
      <c r="C14" s="3">
        <v>53.239999999999995</v>
      </c>
      <c r="D14" s="3">
        <v>51.010000000000005</v>
      </c>
      <c r="E14" s="3">
        <v>51.239999999999995</v>
      </c>
      <c r="F14" s="4" t="str">
        <f t="shared" si="1"/>
        <v>Crank'ys</v>
      </c>
      <c r="H14" s="3" t="b">
        <f t="shared" si="2"/>
        <v>1</v>
      </c>
      <c r="I14" s="3" t="b">
        <f t="shared" si="3"/>
        <v>0</v>
      </c>
      <c r="J14" s="3" t="b">
        <f t="shared" si="4"/>
        <v>0</v>
      </c>
      <c r="K14" s="3" t="b">
        <f t="shared" si="5"/>
        <v>0</v>
      </c>
      <c r="L14" s="3" t="b">
        <f t="shared" si="6"/>
        <v>0</v>
      </c>
    </row>
    <row r="15" spans="1:12" x14ac:dyDescent="0.25">
      <c r="A15" s="3">
        <v>38.57</v>
      </c>
      <c r="B15" s="3">
        <v>40.06</v>
      </c>
      <c r="C15" s="3">
        <v>54.71</v>
      </c>
      <c r="D15" s="3">
        <v>39.700000000000003</v>
      </c>
      <c r="E15" s="3">
        <v>54.730000000000004</v>
      </c>
      <c r="F15" s="4" t="str">
        <f t="shared" si="1"/>
        <v>Crank'ys</v>
      </c>
      <c r="H15" s="3" t="b">
        <f t="shared" si="2"/>
        <v>1</v>
      </c>
      <c r="I15" s="3" t="b">
        <f t="shared" si="3"/>
        <v>0</v>
      </c>
      <c r="J15" s="3" t="b">
        <f t="shared" si="4"/>
        <v>0</v>
      </c>
      <c r="K15" s="3" t="b">
        <f t="shared" si="5"/>
        <v>0</v>
      </c>
      <c r="L15" s="3" t="b">
        <f t="shared" si="6"/>
        <v>0</v>
      </c>
    </row>
    <row r="16" spans="1:12" x14ac:dyDescent="0.25">
      <c r="A16" s="3">
        <v>52.66</v>
      </c>
      <c r="B16" s="3">
        <v>43.61</v>
      </c>
      <c r="C16" s="3">
        <v>59.980000000000004</v>
      </c>
      <c r="D16" s="3">
        <v>34.61</v>
      </c>
      <c r="E16" s="3">
        <v>52.65</v>
      </c>
      <c r="F16" s="4" t="str">
        <f t="shared" si="1"/>
        <v>Mech-Aid</v>
      </c>
      <c r="H16" s="3" t="b">
        <f t="shared" si="2"/>
        <v>0</v>
      </c>
      <c r="I16" s="3" t="b">
        <f t="shared" si="3"/>
        <v>0</v>
      </c>
      <c r="J16" s="3" t="b">
        <f t="shared" si="4"/>
        <v>0</v>
      </c>
      <c r="K16" s="3" t="b">
        <f t="shared" si="5"/>
        <v>1</v>
      </c>
      <c r="L16" s="3" t="b">
        <f t="shared" si="6"/>
        <v>0</v>
      </c>
    </row>
  </sheetData>
  <conditionalFormatting sqref="A5:E16">
    <cfRule type="expression" dxfId="3" priority="1">
      <formula>MIN($A5:$E5)=A5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00FF"/>
  </sheetPr>
  <dimension ref="A1:N14"/>
  <sheetViews>
    <sheetView topLeftCell="A3" zoomScale="130" zoomScaleNormal="130" workbookViewId="0">
      <selection activeCell="I17" sqref="I17"/>
    </sheetView>
  </sheetViews>
  <sheetFormatPr defaultRowHeight="15" x14ac:dyDescent="0.25"/>
  <cols>
    <col min="1" max="1" width="10.85546875" customWidth="1"/>
  </cols>
  <sheetData>
    <row r="1" spans="1:14" x14ac:dyDescent="0.25">
      <c r="A1" s="8" t="s">
        <v>65</v>
      </c>
      <c r="B1" s="9"/>
      <c r="C1" s="9"/>
      <c r="D1" s="9"/>
      <c r="E1" s="9"/>
      <c r="F1" s="9"/>
      <c r="G1" s="9"/>
      <c r="H1" s="9"/>
      <c r="I1" s="9"/>
      <c r="J1" s="9"/>
      <c r="K1" s="10"/>
    </row>
    <row r="3" spans="1:14" x14ac:dyDescent="0.25">
      <c r="B3" s="7" t="s">
        <v>6</v>
      </c>
      <c r="C3" s="7" t="s">
        <v>7</v>
      </c>
      <c r="D3" s="7" t="s">
        <v>8</v>
      </c>
      <c r="E3" s="7" t="s">
        <v>9</v>
      </c>
      <c r="F3" s="7" t="s">
        <v>10</v>
      </c>
      <c r="G3" s="7" t="s">
        <v>11</v>
      </c>
      <c r="H3" s="7" t="s">
        <v>12</v>
      </c>
      <c r="I3" s="7" t="s">
        <v>13</v>
      </c>
      <c r="J3" s="7" t="s">
        <v>14</v>
      </c>
      <c r="K3" s="7" t="s">
        <v>15</v>
      </c>
    </row>
    <row r="4" spans="1:14" x14ac:dyDescent="0.25">
      <c r="A4" s="6" t="s">
        <v>16</v>
      </c>
      <c r="B4" s="6">
        <v>4</v>
      </c>
      <c r="C4" s="6"/>
      <c r="D4" s="6"/>
      <c r="E4" s="6"/>
      <c r="F4" s="6"/>
      <c r="G4" s="6"/>
      <c r="H4" s="6"/>
      <c r="I4" s="6"/>
      <c r="J4" s="6"/>
      <c r="K4" s="6"/>
      <c r="N4" s="6" t="b">
        <f>SUM($B4:$K4)=0</f>
        <v>0</v>
      </c>
    </row>
    <row r="5" spans="1:14" x14ac:dyDescent="0.25">
      <c r="A5" s="6" t="s">
        <v>17</v>
      </c>
      <c r="B5" s="6"/>
      <c r="C5" s="6"/>
      <c r="D5" s="6"/>
      <c r="E5" s="6"/>
      <c r="F5" s="6"/>
      <c r="G5" s="6"/>
      <c r="H5" s="6"/>
      <c r="I5" s="6">
        <v>4</v>
      </c>
      <c r="J5" s="6"/>
      <c r="K5" s="6"/>
      <c r="N5" s="6" t="b">
        <f t="shared" ref="N5:N14" si="0">SUM($B5:$K5)=0</f>
        <v>0</v>
      </c>
    </row>
    <row r="6" spans="1:14" x14ac:dyDescent="0.25">
      <c r="A6" s="6" t="s">
        <v>18</v>
      </c>
      <c r="B6" s="6"/>
      <c r="C6" s="6"/>
      <c r="D6" s="6"/>
      <c r="E6" s="6">
        <v>3</v>
      </c>
      <c r="F6" s="6"/>
      <c r="G6" s="6">
        <v>34</v>
      </c>
      <c r="H6" s="6"/>
      <c r="I6" s="6"/>
      <c r="J6" s="6"/>
      <c r="K6" s="6"/>
      <c r="N6" s="6" t="b">
        <f t="shared" si="0"/>
        <v>0</v>
      </c>
    </row>
    <row r="7" spans="1:14" x14ac:dyDescent="0.25">
      <c r="A7" s="6" t="s">
        <v>19</v>
      </c>
      <c r="B7" s="6"/>
      <c r="C7" s="6"/>
      <c r="D7" s="6">
        <v>34</v>
      </c>
      <c r="E7" s="6"/>
      <c r="F7" s="6"/>
      <c r="G7" s="6"/>
      <c r="H7" s="6"/>
      <c r="I7" s="6"/>
      <c r="J7" s="6"/>
      <c r="K7" s="6"/>
      <c r="N7" s="6" t="b">
        <f t="shared" si="0"/>
        <v>0</v>
      </c>
    </row>
    <row r="8" spans="1:14" x14ac:dyDescent="0.25">
      <c r="A8" s="6" t="s">
        <v>20</v>
      </c>
      <c r="B8" s="6">
        <v>3</v>
      </c>
      <c r="C8" s="6"/>
      <c r="D8" s="6"/>
      <c r="E8" s="6"/>
      <c r="F8" s="6"/>
      <c r="G8" s="6"/>
      <c r="H8" s="6"/>
      <c r="I8" s="6"/>
      <c r="J8" s="6"/>
      <c r="K8" s="6"/>
      <c r="N8" s="6" t="b">
        <f t="shared" si="0"/>
        <v>0</v>
      </c>
    </row>
    <row r="9" spans="1:14" x14ac:dyDescent="0.25">
      <c r="A9" s="6" t="s">
        <v>21</v>
      </c>
      <c r="B9" s="6"/>
      <c r="C9" s="6"/>
      <c r="D9" s="6"/>
      <c r="E9" s="6"/>
      <c r="F9" s="6"/>
      <c r="G9" s="6"/>
      <c r="H9" s="6"/>
      <c r="I9" s="6"/>
      <c r="J9" s="6"/>
      <c r="K9" s="6"/>
      <c r="N9" s="6" t="b">
        <f t="shared" si="0"/>
        <v>1</v>
      </c>
    </row>
    <row r="10" spans="1:14" x14ac:dyDescent="0.25">
      <c r="A10" s="6" t="s">
        <v>22</v>
      </c>
      <c r="B10" s="6"/>
      <c r="C10" s="6"/>
      <c r="D10" s="6"/>
      <c r="E10" s="6"/>
      <c r="F10" s="6"/>
      <c r="G10" s="6"/>
      <c r="H10" s="6"/>
      <c r="I10" s="6"/>
      <c r="J10" s="6"/>
      <c r="K10" s="6"/>
      <c r="N10" s="6" t="b">
        <f t="shared" si="0"/>
        <v>1</v>
      </c>
    </row>
    <row r="11" spans="1:14" x14ac:dyDescent="0.25">
      <c r="A11" s="6" t="s">
        <v>23</v>
      </c>
      <c r="B11" s="6"/>
      <c r="C11" s="6"/>
      <c r="D11" s="6"/>
      <c r="E11" s="6">
        <v>3</v>
      </c>
      <c r="F11" s="6"/>
      <c r="G11" s="6">
        <v>4</v>
      </c>
      <c r="H11" s="6"/>
      <c r="I11" s="6">
        <v>5</v>
      </c>
      <c r="J11" s="6"/>
      <c r="K11" s="6"/>
      <c r="N11" s="6" t="b">
        <f t="shared" si="0"/>
        <v>0</v>
      </c>
    </row>
    <row r="12" spans="1:14" x14ac:dyDescent="0.25">
      <c r="A12" s="6" t="s">
        <v>24</v>
      </c>
      <c r="B12" s="6">
        <v>3</v>
      </c>
      <c r="C12" s="6">
        <v>3</v>
      </c>
      <c r="D12" s="6"/>
      <c r="E12" s="6"/>
      <c r="F12" s="6"/>
      <c r="G12" s="6"/>
      <c r="H12" s="6"/>
      <c r="I12" s="6"/>
      <c r="J12" s="6"/>
      <c r="K12" s="6"/>
      <c r="N12" s="6" t="b">
        <f t="shared" si="0"/>
        <v>0</v>
      </c>
    </row>
    <row r="13" spans="1:14" x14ac:dyDescent="0.25">
      <c r="A13" s="6" t="s">
        <v>25</v>
      </c>
      <c r="B13" s="6"/>
      <c r="C13" s="6"/>
      <c r="D13" s="6"/>
      <c r="E13" s="6"/>
      <c r="F13" s="6"/>
      <c r="G13" s="6"/>
      <c r="H13" s="6"/>
      <c r="I13" s="6"/>
      <c r="J13" s="6"/>
      <c r="K13" s="6"/>
      <c r="N13" s="6" t="b">
        <f t="shared" si="0"/>
        <v>1</v>
      </c>
    </row>
    <row r="14" spans="1:14" x14ac:dyDescent="0.25">
      <c r="A14" s="6" t="s">
        <v>26</v>
      </c>
      <c r="B14" s="6"/>
      <c r="C14" s="6"/>
      <c r="D14" s="6"/>
      <c r="E14" s="6"/>
      <c r="F14" s="6"/>
      <c r="G14" s="6"/>
      <c r="H14" s="6"/>
      <c r="I14" s="6"/>
      <c r="J14" s="6"/>
      <c r="K14" s="6"/>
      <c r="N14" s="6" t="b">
        <f t="shared" si="0"/>
        <v>1</v>
      </c>
    </row>
  </sheetData>
  <conditionalFormatting sqref="B4:K14">
    <cfRule type="expression" dxfId="0" priority="1">
      <formula>SUM($B4:$K4)=0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00FF"/>
  </sheetPr>
  <dimension ref="A1:J66"/>
  <sheetViews>
    <sheetView tabSelected="1" topLeftCell="A6" zoomScale="115" zoomScaleNormal="115" workbookViewId="0">
      <selection activeCell="I20" sqref="I20"/>
    </sheetView>
  </sheetViews>
  <sheetFormatPr defaultRowHeight="15" x14ac:dyDescent="0.25"/>
  <cols>
    <col min="1" max="1" width="13.85546875" customWidth="1"/>
    <col min="3" max="3" width="17.85546875" customWidth="1"/>
    <col min="4" max="4" width="25.85546875" customWidth="1"/>
    <col min="5" max="5" width="15.140625" customWidth="1"/>
    <col min="7" max="8" width="13.7109375" bestFit="1" customWidth="1"/>
    <col min="9" max="9" width="8.5703125" bestFit="1" customWidth="1"/>
  </cols>
  <sheetData>
    <row r="1" spans="1:10" x14ac:dyDescent="0.25">
      <c r="A1" s="20" t="s">
        <v>30</v>
      </c>
      <c r="B1" s="21"/>
      <c r="C1" s="21"/>
      <c r="D1" s="21"/>
      <c r="E1" s="21"/>
      <c r="F1" s="21"/>
      <c r="G1" s="21"/>
      <c r="H1" s="21"/>
      <c r="I1" s="21"/>
      <c r="J1" s="22"/>
    </row>
    <row r="2" spans="1:10" x14ac:dyDescent="0.25">
      <c r="A2" s="23" t="s">
        <v>31</v>
      </c>
      <c r="B2" s="24"/>
      <c r="C2" s="24"/>
      <c r="D2" s="24"/>
      <c r="E2" s="24"/>
      <c r="F2" s="24"/>
      <c r="G2" s="24"/>
      <c r="H2" s="24"/>
      <c r="I2" s="24"/>
      <c r="J2" s="25"/>
    </row>
    <row r="3" spans="1:10" x14ac:dyDescent="0.25">
      <c r="A3" s="23" t="s">
        <v>55</v>
      </c>
      <c r="B3" s="24"/>
      <c r="C3" s="24"/>
      <c r="D3" s="24"/>
      <c r="E3" s="24"/>
      <c r="F3" s="24"/>
      <c r="G3" s="24"/>
      <c r="H3" s="24"/>
      <c r="I3" s="24"/>
      <c r="J3" s="25"/>
    </row>
    <row r="4" spans="1:10" x14ac:dyDescent="0.25">
      <c r="A4" s="23" t="s">
        <v>32</v>
      </c>
      <c r="B4" s="24"/>
      <c r="C4" s="24"/>
      <c r="D4" s="24"/>
      <c r="E4" s="24"/>
      <c r="F4" s="24"/>
      <c r="G4" s="24"/>
      <c r="H4" s="24"/>
      <c r="I4" s="24"/>
      <c r="J4" s="25"/>
    </row>
    <row r="5" spans="1:10" x14ac:dyDescent="0.25">
      <c r="A5" s="26" t="s">
        <v>33</v>
      </c>
      <c r="B5" s="27"/>
      <c r="C5" s="27"/>
      <c r="D5" s="27"/>
      <c r="E5" s="27"/>
      <c r="F5" s="27"/>
      <c r="G5" s="27"/>
      <c r="H5" s="27"/>
      <c r="I5" s="27"/>
      <c r="J5" s="28"/>
    </row>
    <row r="7" spans="1:10" x14ac:dyDescent="0.25">
      <c r="A7" s="19" t="s">
        <v>27</v>
      </c>
      <c r="C7" s="29" t="s">
        <v>66</v>
      </c>
      <c r="D7" s="6">
        <f>MIN($A$8:$A$66)</f>
        <v>6</v>
      </c>
    </row>
    <row r="8" spans="1:10" x14ac:dyDescent="0.25">
      <c r="A8" s="6">
        <v>19</v>
      </c>
      <c r="C8" s="29" t="s">
        <v>67</v>
      </c>
      <c r="D8" s="6">
        <f>MAX(A8:A66)</f>
        <v>98</v>
      </c>
    </row>
    <row r="9" spans="1:10" x14ac:dyDescent="0.25">
      <c r="A9" s="6">
        <v>25</v>
      </c>
    </row>
    <row r="10" spans="1:10" x14ac:dyDescent="0.25">
      <c r="A10" s="6">
        <v>85</v>
      </c>
      <c r="C10" s="29" t="s">
        <v>69</v>
      </c>
      <c r="D10" s="29" t="s">
        <v>68</v>
      </c>
      <c r="E10" s="29" t="s">
        <v>37</v>
      </c>
      <c r="G10" s="29" t="s">
        <v>69</v>
      </c>
      <c r="H10" s="29" t="s">
        <v>70</v>
      </c>
      <c r="I10" s="29" t="s">
        <v>71</v>
      </c>
    </row>
    <row r="11" spans="1:10" x14ac:dyDescent="0.25">
      <c r="A11" s="6">
        <v>74</v>
      </c>
      <c r="C11" s="6">
        <v>0</v>
      </c>
      <c r="D11" s="6" t="str">
        <f>C11&amp;" &lt;= TS &lt; "&amp;C12</f>
        <v>0 &lt;= TS &lt; 10</v>
      </c>
      <c r="E11" s="6">
        <f t="array" ref="E11:E21">FREQUENCY(A8:A66,C11:C21)</f>
        <v>0</v>
      </c>
      <c r="G11" s="6">
        <v>0</v>
      </c>
      <c r="H11" s="6">
        <v>10</v>
      </c>
      <c r="I11" s="6">
        <f>COUNTIFS($A$8:$A$66,"&gt;="&amp;G11,$A$8:$A$66,"&lt;"&amp;H11)</f>
        <v>1</v>
      </c>
    </row>
    <row r="12" spans="1:10" x14ac:dyDescent="0.25">
      <c r="A12" s="6">
        <v>69</v>
      </c>
      <c r="C12" s="6">
        <v>10</v>
      </c>
      <c r="D12" s="6" t="str">
        <f t="shared" ref="D12:D21" si="0">C12&amp;" &lt;= TS &lt; "&amp;C13</f>
        <v>10 &lt;= TS &lt; 20</v>
      </c>
      <c r="E12" s="6">
        <v>1</v>
      </c>
      <c r="G12" s="6">
        <v>10</v>
      </c>
      <c r="H12" s="6">
        <v>20</v>
      </c>
      <c r="I12" s="6">
        <f t="shared" ref="I12:I21" si="1">COUNTIFS($A$8:$A$66,"&gt;="&amp;G12,$A$8:$A$66,"&lt;"&amp;H12)</f>
        <v>5</v>
      </c>
    </row>
    <row r="13" spans="1:10" x14ac:dyDescent="0.25">
      <c r="A13" s="6">
        <v>42</v>
      </c>
      <c r="C13" s="6">
        <v>20</v>
      </c>
      <c r="D13" s="6" t="str">
        <f t="shared" si="0"/>
        <v>20 &lt;= TS &lt; 30</v>
      </c>
      <c r="E13" s="6">
        <v>6</v>
      </c>
      <c r="G13" s="6">
        <v>20</v>
      </c>
      <c r="H13" s="6">
        <v>30</v>
      </c>
      <c r="I13" s="6">
        <f t="shared" si="1"/>
        <v>2</v>
      </c>
    </row>
    <row r="14" spans="1:10" x14ac:dyDescent="0.25">
      <c r="A14" s="6">
        <v>35</v>
      </c>
      <c r="C14" s="6">
        <v>30</v>
      </c>
      <c r="D14" s="6" t="str">
        <f t="shared" si="0"/>
        <v>30 &lt;= TS &lt; 40</v>
      </c>
      <c r="E14" s="6">
        <v>1</v>
      </c>
      <c r="G14" s="6">
        <v>30</v>
      </c>
      <c r="H14" s="6">
        <v>40</v>
      </c>
      <c r="I14" s="6">
        <f t="shared" si="1"/>
        <v>2</v>
      </c>
    </row>
    <row r="15" spans="1:10" x14ac:dyDescent="0.25">
      <c r="A15" s="6">
        <v>76</v>
      </c>
      <c r="C15" s="6">
        <v>40</v>
      </c>
      <c r="D15" s="6" t="str">
        <f t="shared" si="0"/>
        <v>40 &lt;= TS &lt; 50</v>
      </c>
      <c r="E15" s="6">
        <v>4</v>
      </c>
      <c r="G15" s="6">
        <v>40</v>
      </c>
      <c r="H15" s="6">
        <v>50</v>
      </c>
      <c r="I15" s="6">
        <f t="shared" si="1"/>
        <v>6</v>
      </c>
    </row>
    <row r="16" spans="1:10" x14ac:dyDescent="0.25">
      <c r="A16" s="6">
        <v>61</v>
      </c>
      <c r="C16" s="6">
        <v>50</v>
      </c>
      <c r="D16" s="6" t="str">
        <f t="shared" si="0"/>
        <v>50 &lt;= TS &lt; 60</v>
      </c>
      <c r="E16" s="6">
        <v>5</v>
      </c>
      <c r="G16" s="6">
        <v>50</v>
      </c>
      <c r="H16" s="6">
        <v>60</v>
      </c>
      <c r="I16" s="6">
        <f t="shared" si="1"/>
        <v>6</v>
      </c>
    </row>
    <row r="17" spans="1:9" x14ac:dyDescent="0.25">
      <c r="A17" s="6">
        <v>71</v>
      </c>
      <c r="C17" s="6">
        <v>60</v>
      </c>
      <c r="D17" s="6" t="str">
        <f t="shared" si="0"/>
        <v>60 &lt;= TS &lt; 70</v>
      </c>
      <c r="E17" s="6">
        <v>5</v>
      </c>
      <c r="G17" s="6">
        <v>60</v>
      </c>
      <c r="H17" s="6">
        <v>70</v>
      </c>
      <c r="I17" s="6">
        <f t="shared" si="1"/>
        <v>7</v>
      </c>
    </row>
    <row r="18" spans="1:9" x14ac:dyDescent="0.25">
      <c r="A18" s="6">
        <v>73</v>
      </c>
      <c r="C18" s="6">
        <v>70</v>
      </c>
      <c r="D18" s="6" t="str">
        <f t="shared" si="0"/>
        <v>70 &lt;= TS &lt; 80</v>
      </c>
      <c r="E18" s="6">
        <v>9</v>
      </c>
      <c r="G18" s="6">
        <v>70</v>
      </c>
      <c r="H18" s="6">
        <v>80</v>
      </c>
      <c r="I18" s="6">
        <f t="shared" si="1"/>
        <v>16</v>
      </c>
    </row>
    <row r="19" spans="1:9" x14ac:dyDescent="0.25">
      <c r="A19" s="6">
        <v>74</v>
      </c>
      <c r="C19" s="6">
        <v>80</v>
      </c>
      <c r="D19" s="6" t="str">
        <f t="shared" si="0"/>
        <v>80 &lt;= TS &lt; 90</v>
      </c>
      <c r="E19" s="6">
        <v>15</v>
      </c>
      <c r="G19" s="6">
        <v>80</v>
      </c>
      <c r="H19" s="6">
        <v>90</v>
      </c>
      <c r="I19" s="6">
        <f t="shared" si="1"/>
        <v>9</v>
      </c>
    </row>
    <row r="20" spans="1:9" x14ac:dyDescent="0.25">
      <c r="A20" s="6">
        <v>51</v>
      </c>
      <c r="C20" s="6">
        <v>90</v>
      </c>
      <c r="D20" s="6" t="str">
        <f t="shared" si="0"/>
        <v>90 &lt;= TS &lt; 100</v>
      </c>
      <c r="E20" s="6">
        <v>8</v>
      </c>
      <c r="G20" s="6">
        <v>90</v>
      </c>
      <c r="H20" s="6">
        <v>100</v>
      </c>
      <c r="I20" s="6">
        <f t="shared" si="1"/>
        <v>5</v>
      </c>
    </row>
    <row r="21" spans="1:9" x14ac:dyDescent="0.25">
      <c r="A21" s="6">
        <v>75</v>
      </c>
      <c r="C21" s="6">
        <v>100</v>
      </c>
      <c r="D21" s="6" t="str">
        <f>C21&amp;" &lt;= TS"</f>
        <v>100 &lt;= TS</v>
      </c>
      <c r="E21" s="6">
        <v>5</v>
      </c>
    </row>
    <row r="22" spans="1:9" x14ac:dyDescent="0.25">
      <c r="A22" s="6">
        <v>48</v>
      </c>
    </row>
    <row r="23" spans="1:9" x14ac:dyDescent="0.25">
      <c r="A23" s="6">
        <v>13</v>
      </c>
    </row>
    <row r="24" spans="1:9" x14ac:dyDescent="0.25">
      <c r="A24" s="6">
        <v>82</v>
      </c>
    </row>
    <row r="25" spans="1:9" x14ac:dyDescent="0.25">
      <c r="A25" s="6">
        <v>69</v>
      </c>
    </row>
    <row r="26" spans="1:9" x14ac:dyDescent="0.25">
      <c r="A26" s="6">
        <v>67</v>
      </c>
    </row>
    <row r="27" spans="1:9" x14ac:dyDescent="0.25">
      <c r="A27" s="6">
        <v>81</v>
      </c>
    </row>
    <row r="28" spans="1:9" x14ac:dyDescent="0.25">
      <c r="A28" s="6">
        <v>13</v>
      </c>
    </row>
    <row r="29" spans="1:9" x14ac:dyDescent="0.25">
      <c r="A29" s="6">
        <v>57</v>
      </c>
    </row>
    <row r="30" spans="1:9" x14ac:dyDescent="0.25">
      <c r="A30" s="6">
        <v>98</v>
      </c>
    </row>
    <row r="31" spans="1:9" x14ac:dyDescent="0.25">
      <c r="A31" s="6">
        <v>86</v>
      </c>
    </row>
    <row r="32" spans="1:9" x14ac:dyDescent="0.25">
      <c r="A32" s="6">
        <v>83</v>
      </c>
    </row>
    <row r="33" spans="1:1" x14ac:dyDescent="0.25">
      <c r="A33" s="6">
        <v>89</v>
      </c>
    </row>
    <row r="34" spans="1:1" x14ac:dyDescent="0.25">
      <c r="A34" s="6">
        <v>97</v>
      </c>
    </row>
    <row r="35" spans="1:1" x14ac:dyDescent="0.25">
      <c r="A35" s="6">
        <v>80</v>
      </c>
    </row>
    <row r="36" spans="1:1" x14ac:dyDescent="0.25">
      <c r="A36" s="6">
        <v>75</v>
      </c>
    </row>
    <row r="37" spans="1:1" x14ac:dyDescent="0.25">
      <c r="A37" s="6">
        <v>40</v>
      </c>
    </row>
    <row r="38" spans="1:1" x14ac:dyDescent="0.25">
      <c r="A38" s="6">
        <v>6</v>
      </c>
    </row>
    <row r="39" spans="1:1" x14ac:dyDescent="0.25">
      <c r="A39" s="6">
        <v>71</v>
      </c>
    </row>
    <row r="40" spans="1:1" x14ac:dyDescent="0.25">
      <c r="A40" s="6">
        <v>50</v>
      </c>
    </row>
    <row r="41" spans="1:1" x14ac:dyDescent="0.25">
      <c r="A41" s="6">
        <v>49</v>
      </c>
    </row>
    <row r="42" spans="1:1" x14ac:dyDescent="0.25">
      <c r="A42" s="6">
        <v>77</v>
      </c>
    </row>
    <row r="43" spans="1:1" x14ac:dyDescent="0.25">
      <c r="A43" s="6">
        <v>75</v>
      </c>
    </row>
    <row r="44" spans="1:1" x14ac:dyDescent="0.25">
      <c r="A44" s="6">
        <v>56</v>
      </c>
    </row>
    <row r="45" spans="1:1" x14ac:dyDescent="0.25">
      <c r="A45" s="6">
        <v>20</v>
      </c>
    </row>
    <row r="46" spans="1:1" x14ac:dyDescent="0.25">
      <c r="A46" s="6">
        <v>13</v>
      </c>
    </row>
    <row r="47" spans="1:1" x14ac:dyDescent="0.25">
      <c r="A47" s="6">
        <v>35</v>
      </c>
    </row>
    <row r="48" spans="1:1" x14ac:dyDescent="0.25">
      <c r="A48" s="6">
        <v>70</v>
      </c>
    </row>
    <row r="49" spans="1:1" x14ac:dyDescent="0.25">
      <c r="A49" s="6">
        <v>96</v>
      </c>
    </row>
    <row r="50" spans="1:1" x14ac:dyDescent="0.25">
      <c r="A50" s="6">
        <v>18</v>
      </c>
    </row>
    <row r="51" spans="1:1" x14ac:dyDescent="0.25">
      <c r="A51" s="6">
        <v>62</v>
      </c>
    </row>
    <row r="52" spans="1:1" x14ac:dyDescent="0.25">
      <c r="A52" s="6">
        <v>98</v>
      </c>
    </row>
    <row r="53" spans="1:1" x14ac:dyDescent="0.25">
      <c r="A53" s="6">
        <v>63</v>
      </c>
    </row>
    <row r="54" spans="1:1" x14ac:dyDescent="0.25">
      <c r="A54" s="6">
        <v>49</v>
      </c>
    </row>
    <row r="55" spans="1:1" x14ac:dyDescent="0.25">
      <c r="A55" s="6">
        <v>70</v>
      </c>
    </row>
    <row r="56" spans="1:1" x14ac:dyDescent="0.25">
      <c r="A56" s="6">
        <v>68</v>
      </c>
    </row>
    <row r="57" spans="1:1" x14ac:dyDescent="0.25">
      <c r="A57" s="6">
        <v>83</v>
      </c>
    </row>
    <row r="58" spans="1:1" x14ac:dyDescent="0.25">
      <c r="A58" s="6">
        <v>83</v>
      </c>
    </row>
    <row r="59" spans="1:1" x14ac:dyDescent="0.25">
      <c r="A59" s="6">
        <v>53</v>
      </c>
    </row>
    <row r="60" spans="1:1" x14ac:dyDescent="0.25">
      <c r="A60" s="6">
        <v>72</v>
      </c>
    </row>
    <row r="61" spans="1:1" x14ac:dyDescent="0.25">
      <c r="A61" s="6">
        <v>40</v>
      </c>
    </row>
    <row r="62" spans="1:1" x14ac:dyDescent="0.25">
      <c r="A62" s="6">
        <v>76</v>
      </c>
    </row>
    <row r="63" spans="1:1" x14ac:dyDescent="0.25">
      <c r="A63" s="6">
        <v>98</v>
      </c>
    </row>
    <row r="64" spans="1:1" x14ac:dyDescent="0.25">
      <c r="A64" s="6">
        <v>71</v>
      </c>
    </row>
    <row r="65" spans="1:1" x14ac:dyDescent="0.25">
      <c r="A65" s="6">
        <v>79</v>
      </c>
    </row>
    <row r="66" spans="1:1" x14ac:dyDescent="0.25">
      <c r="A66" s="6">
        <v>55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0000"/>
  </sheetPr>
  <dimension ref="A1:K10"/>
  <sheetViews>
    <sheetView zoomScaleNormal="100" workbookViewId="0">
      <selection activeCell="C10" sqref="C10"/>
    </sheetView>
  </sheetViews>
  <sheetFormatPr defaultRowHeight="15" x14ac:dyDescent="0.25"/>
  <cols>
    <col min="1" max="1" width="56.28515625" customWidth="1"/>
    <col min="2" max="2" width="14" customWidth="1"/>
    <col min="3" max="3" width="14.42578125" customWidth="1"/>
    <col min="4" max="4" width="77.42578125" customWidth="1"/>
  </cols>
  <sheetData>
    <row r="1" spans="1:11" ht="30" x14ac:dyDescent="0.25">
      <c r="A1" s="15" t="s">
        <v>56</v>
      </c>
      <c r="B1" s="15" t="s">
        <v>57</v>
      </c>
      <c r="C1" s="15" t="s">
        <v>58</v>
      </c>
      <c r="D1" s="15" t="s">
        <v>59</v>
      </c>
    </row>
    <row r="2" spans="1:11" ht="30" x14ac:dyDescent="0.25">
      <c r="A2" s="16" t="s">
        <v>61</v>
      </c>
      <c r="B2" s="6">
        <v>5</v>
      </c>
      <c r="C2" s="6">
        <f t="shared" ref="C2:C6" si="0">B2</f>
        <v>5</v>
      </c>
      <c r="D2" s="16" t="str">
        <f>IF(B2&lt;&gt;C2,K2,"")</f>
        <v/>
      </c>
      <c r="K2" s="6" t="str">
        <f t="shared" ref="K2:K6" si="1">"Didn't "&amp;A2</f>
        <v>Didn't Conditional Formatting for smallest in each row like: =MIN($A5:$E5)=A5</v>
      </c>
    </row>
    <row r="3" spans="1:11" x14ac:dyDescent="0.25">
      <c r="B3" s="6">
        <v>5</v>
      </c>
      <c r="C3" s="6">
        <f t="shared" si="0"/>
        <v>5</v>
      </c>
      <c r="D3" s="16" t="str">
        <f t="shared" ref="D3:D7" si="2">IF(B3&lt;&gt;C3,K3,"")</f>
        <v/>
      </c>
      <c r="K3" s="6" t="str">
        <f>"Didn't "&amp;A4</f>
        <v>Didn't Conditional Formatting for rows with nothing like:  =NOT(COUNTA(B4:K4))</v>
      </c>
    </row>
    <row r="4" spans="1:11" ht="30" x14ac:dyDescent="0.25">
      <c r="A4" s="16" t="s">
        <v>62</v>
      </c>
      <c r="B4" s="6">
        <v>5</v>
      </c>
      <c r="C4" s="6">
        <f t="shared" si="0"/>
        <v>5</v>
      </c>
      <c r="D4" s="16" t="str">
        <f t="shared" si="2"/>
        <v/>
      </c>
      <c r="K4" s="6" t="e">
        <f>"Didn't "&amp;#REF!</f>
        <v>#REF!</v>
      </c>
    </row>
    <row r="5" spans="1:11" x14ac:dyDescent="0.25">
      <c r="A5" s="16"/>
      <c r="B5" s="6">
        <v>5</v>
      </c>
      <c r="C5" s="6">
        <f>B5</f>
        <v>5</v>
      </c>
      <c r="D5" s="16" t="str">
        <f t="shared" si="2"/>
        <v/>
      </c>
      <c r="K5" s="6" t="str">
        <f t="shared" si="1"/>
        <v xml:space="preserve">Didn't </v>
      </c>
    </row>
    <row r="6" spans="1:11" x14ac:dyDescent="0.25">
      <c r="A6" s="16" t="s">
        <v>63</v>
      </c>
      <c r="B6" s="6">
        <v>5</v>
      </c>
      <c r="C6" s="6">
        <f t="shared" si="0"/>
        <v>5</v>
      </c>
      <c r="D6" s="16" t="str">
        <f t="shared" si="2"/>
        <v/>
      </c>
      <c r="K6" s="6" t="str">
        <f t="shared" si="1"/>
        <v>Didn't Frequency Distribution</v>
      </c>
    </row>
    <row r="7" spans="1:11" x14ac:dyDescent="0.25">
      <c r="A7" s="16" t="s">
        <v>64</v>
      </c>
      <c r="B7" s="6">
        <v>5</v>
      </c>
      <c r="C7" s="6">
        <f>B7</f>
        <v>5</v>
      </c>
      <c r="D7" s="16" t="str">
        <f t="shared" si="2"/>
        <v/>
      </c>
      <c r="K7" s="6" t="str">
        <f>"No "&amp;A7&amp;" The perfect answer to why we need to unpivot is 'so we can do any Data Analysis task such as Sort, Filter, PivotTable'."</f>
        <v>No Histogram The perfect answer to why we need to unpivot is 'so we can do any Data Analysis task such as Sort, Filter, PivotTable'.</v>
      </c>
    </row>
    <row r="8" spans="1:11" x14ac:dyDescent="0.25">
      <c r="C8" s="17" t="str">
        <f>IF(C9="Late",-0.25*SUM(C1:C7),"")</f>
        <v/>
      </c>
      <c r="D8" s="17" t="str">
        <f>IF($C$9="Late","Late","")</f>
        <v/>
      </c>
      <c r="K8" s="6"/>
    </row>
    <row r="9" spans="1:11" x14ac:dyDescent="0.25">
      <c r="A9" s="18" t="s">
        <v>60</v>
      </c>
      <c r="B9" s="4">
        <f>SUM(B2:B7)</f>
        <v>30</v>
      </c>
      <c r="D9" s="17" t="str">
        <f>IF($C$9="Late","In accordance with the syllabus, late points are subtracted from score (25%).","")</f>
        <v/>
      </c>
      <c r="K9" s="6"/>
    </row>
    <row r="10" spans="1:11" x14ac:dyDescent="0.25">
      <c r="C10" s="4">
        <f>SUM(C2:C8)</f>
        <v>30</v>
      </c>
      <c r="K10" s="6"/>
    </row>
  </sheetData>
  <conditionalFormatting sqref="A5:C7 B3:C4">
    <cfRule type="expression" dxfId="8" priority="1">
      <formula>$B3&lt;&gt;$C3</formula>
    </cfRule>
  </conditionalFormatting>
  <conditionalFormatting sqref="A2:D2 D3:D7">
    <cfRule type="expression" dxfId="7" priority="2">
      <formula>$B2&lt;&gt;$C2</formula>
    </cfRule>
  </conditionalFormatting>
  <conditionalFormatting sqref="A4">
    <cfRule type="expression" dxfId="6" priority="4">
      <formula>$B3&lt;&gt;$C3</formula>
    </cfRule>
  </conditionalFormatting>
  <dataValidations count="1">
    <dataValidation type="list" allowBlank="1" showInputMessage="1" showErrorMessage="1" sqref="C9" xr:uid="{00000000-0002-0000-0300-000000000000}">
      <formula1>"Late"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F0000"/>
  </sheetPr>
  <dimension ref="A1:L16"/>
  <sheetViews>
    <sheetView zoomScale="145" zoomScaleNormal="145" workbookViewId="0">
      <selection activeCell="A5" sqref="A5"/>
    </sheetView>
  </sheetViews>
  <sheetFormatPr defaultRowHeight="15" x14ac:dyDescent="0.25"/>
  <cols>
    <col min="1" max="2" width="13.7109375" customWidth="1"/>
    <col min="3" max="3" width="15.7109375" customWidth="1"/>
    <col min="4" max="5" width="13.7109375" customWidth="1"/>
    <col min="6" max="6" width="18.28515625" customWidth="1"/>
  </cols>
  <sheetData>
    <row r="1" spans="1:12" x14ac:dyDescent="0.25">
      <c r="A1" s="8" t="s">
        <v>28</v>
      </c>
      <c r="B1" s="9"/>
      <c r="C1" s="9"/>
      <c r="D1" s="9"/>
      <c r="E1" s="9"/>
      <c r="F1" s="10"/>
    </row>
    <row r="4" spans="1:12" x14ac:dyDescent="0.25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2" t="s">
        <v>5</v>
      </c>
    </row>
    <row r="5" spans="1:12" x14ac:dyDescent="0.25">
      <c r="A5" s="3">
        <v>38.99</v>
      </c>
      <c r="B5" s="3">
        <v>48.6</v>
      </c>
      <c r="C5" s="3">
        <v>43.53</v>
      </c>
      <c r="D5" s="3">
        <v>40.08</v>
      </c>
      <c r="E5" s="3">
        <v>47.92</v>
      </c>
      <c r="F5" s="4" t="str">
        <f>INDEX($A$4:$E$4,MATCH(MIN(A5:E5),A5:E5,0))</f>
        <v>Crank'ys</v>
      </c>
      <c r="H5" s="5" t="b">
        <f t="shared" ref="H5:L16" si="0">MIN($A5:$E5)=A5</f>
        <v>1</v>
      </c>
      <c r="I5" s="5" t="b">
        <f t="shared" si="0"/>
        <v>0</v>
      </c>
      <c r="J5" s="5" t="b">
        <f t="shared" si="0"/>
        <v>0</v>
      </c>
      <c r="K5" s="5" t="b">
        <f t="shared" si="0"/>
        <v>0</v>
      </c>
      <c r="L5" s="5" t="b">
        <f t="shared" si="0"/>
        <v>0</v>
      </c>
    </row>
    <row r="6" spans="1:12" x14ac:dyDescent="0.25">
      <c r="A6" s="3">
        <v>57.68</v>
      </c>
      <c r="B6" s="3">
        <v>31.8</v>
      </c>
      <c r="C6" s="3">
        <v>52.78</v>
      </c>
      <c r="D6" s="3">
        <v>31.42</v>
      </c>
      <c r="E6" s="3">
        <v>55.19</v>
      </c>
      <c r="F6" s="4" t="str">
        <f t="shared" ref="F6:F16" si="1">INDEX($A$4:$E$4,MATCH(MIN(A6:E6),A6:E6,0))</f>
        <v>Mech-Aid</v>
      </c>
      <c r="H6" s="5" t="b">
        <f t="shared" si="0"/>
        <v>0</v>
      </c>
      <c r="I6" s="5" t="b">
        <f t="shared" si="0"/>
        <v>0</v>
      </c>
      <c r="J6" s="5" t="b">
        <f t="shared" si="0"/>
        <v>0</v>
      </c>
      <c r="K6" s="5" t="b">
        <f t="shared" si="0"/>
        <v>1</v>
      </c>
      <c r="L6" s="5" t="b">
        <f t="shared" si="0"/>
        <v>0</v>
      </c>
    </row>
    <row r="7" spans="1:12" x14ac:dyDescent="0.25">
      <c r="A7" s="3">
        <v>53.32</v>
      </c>
      <c r="B7" s="3">
        <v>32.64</v>
      </c>
      <c r="C7" s="3">
        <v>37.69</v>
      </c>
      <c r="D7" s="3">
        <v>48.29</v>
      </c>
      <c r="E7" s="3">
        <v>41.59</v>
      </c>
      <c r="F7" s="4" t="str">
        <f t="shared" si="1"/>
        <v>Bay Air</v>
      </c>
      <c r="H7" s="5" t="b">
        <f t="shared" si="0"/>
        <v>0</v>
      </c>
      <c r="I7" s="5" t="b">
        <f t="shared" si="0"/>
        <v>1</v>
      </c>
      <c r="J7" s="5" t="b">
        <f t="shared" si="0"/>
        <v>0</v>
      </c>
      <c r="K7" s="5" t="b">
        <f t="shared" si="0"/>
        <v>0</v>
      </c>
      <c r="L7" s="5" t="b">
        <f t="shared" si="0"/>
        <v>0</v>
      </c>
    </row>
    <row r="8" spans="1:12" x14ac:dyDescent="0.25">
      <c r="A8" s="3">
        <v>35.200000000000003</v>
      </c>
      <c r="B8" s="3">
        <v>40.549999999999997</v>
      </c>
      <c r="C8" s="3">
        <v>32.65</v>
      </c>
      <c r="D8" s="3">
        <v>36.81</v>
      </c>
      <c r="E8" s="3">
        <v>41.14</v>
      </c>
      <c r="F8" s="4" t="str">
        <f t="shared" si="1"/>
        <v>Compressor R Us</v>
      </c>
      <c r="H8" s="5" t="b">
        <f t="shared" si="0"/>
        <v>0</v>
      </c>
      <c r="I8" s="5" t="b">
        <f t="shared" si="0"/>
        <v>0</v>
      </c>
      <c r="J8" s="5" t="b">
        <f t="shared" si="0"/>
        <v>1</v>
      </c>
      <c r="K8" s="5" t="b">
        <f t="shared" si="0"/>
        <v>0</v>
      </c>
      <c r="L8" s="5" t="b">
        <f t="shared" si="0"/>
        <v>0</v>
      </c>
    </row>
    <row r="9" spans="1:12" x14ac:dyDescent="0.25">
      <c r="A9" s="3">
        <v>56.72</v>
      </c>
      <c r="B9" s="3">
        <v>47.16</v>
      </c>
      <c r="C9" s="3">
        <v>36.42</v>
      </c>
      <c r="D9" s="3">
        <v>49.56</v>
      </c>
      <c r="E9" s="3">
        <v>39.25</v>
      </c>
      <c r="F9" s="4" t="str">
        <f t="shared" si="1"/>
        <v>Compressor R Us</v>
      </c>
      <c r="H9" s="5" t="b">
        <f t="shared" si="0"/>
        <v>0</v>
      </c>
      <c r="I9" s="5" t="b">
        <f t="shared" si="0"/>
        <v>0</v>
      </c>
      <c r="J9" s="5" t="b">
        <f t="shared" si="0"/>
        <v>1</v>
      </c>
      <c r="K9" s="5" t="b">
        <f t="shared" si="0"/>
        <v>0</v>
      </c>
      <c r="L9" s="5" t="b">
        <f t="shared" si="0"/>
        <v>0</v>
      </c>
    </row>
    <row r="10" spans="1:12" x14ac:dyDescent="0.25">
      <c r="A10" s="3">
        <v>47.91</v>
      </c>
      <c r="B10" s="3">
        <v>35.08</v>
      </c>
      <c r="C10" s="3">
        <v>51.129999999999995</v>
      </c>
      <c r="D10" s="3">
        <v>49.84</v>
      </c>
      <c r="E10" s="3">
        <v>42.12</v>
      </c>
      <c r="F10" s="4" t="str">
        <f t="shared" si="1"/>
        <v>Bay Air</v>
      </c>
      <c r="H10" s="5" t="b">
        <f t="shared" si="0"/>
        <v>0</v>
      </c>
      <c r="I10" s="5" t="b">
        <f t="shared" si="0"/>
        <v>1</v>
      </c>
      <c r="J10" s="5" t="b">
        <f t="shared" si="0"/>
        <v>0</v>
      </c>
      <c r="K10" s="5" t="b">
        <f t="shared" si="0"/>
        <v>0</v>
      </c>
      <c r="L10" s="5" t="b">
        <f t="shared" si="0"/>
        <v>0</v>
      </c>
    </row>
    <row r="11" spans="1:12" x14ac:dyDescent="0.25">
      <c r="A11" s="3">
        <v>34.81</v>
      </c>
      <c r="B11" s="3">
        <v>35.11</v>
      </c>
      <c r="C11" s="3">
        <v>48.629999999999995</v>
      </c>
      <c r="D11" s="3">
        <v>33.32</v>
      </c>
      <c r="E11" s="3">
        <v>37.83</v>
      </c>
      <c r="F11" s="4" t="str">
        <f t="shared" si="1"/>
        <v>Mech-Aid</v>
      </c>
      <c r="H11" s="5" t="b">
        <f t="shared" si="0"/>
        <v>0</v>
      </c>
      <c r="I11" s="5" t="b">
        <f t="shared" si="0"/>
        <v>0</v>
      </c>
      <c r="J11" s="5" t="b">
        <f t="shared" si="0"/>
        <v>0</v>
      </c>
      <c r="K11" s="5" t="b">
        <f t="shared" si="0"/>
        <v>1</v>
      </c>
      <c r="L11" s="5" t="b">
        <f t="shared" si="0"/>
        <v>0</v>
      </c>
    </row>
    <row r="12" spans="1:12" x14ac:dyDescent="0.25">
      <c r="A12" s="3">
        <v>42.25</v>
      </c>
      <c r="B12" s="3">
        <v>35.76</v>
      </c>
      <c r="C12" s="3">
        <v>58.6</v>
      </c>
      <c r="D12" s="3">
        <v>46.28</v>
      </c>
      <c r="E12" s="3">
        <v>40.53</v>
      </c>
      <c r="F12" s="4" t="str">
        <f t="shared" si="1"/>
        <v>Bay Air</v>
      </c>
      <c r="H12" s="5" t="b">
        <f t="shared" si="0"/>
        <v>0</v>
      </c>
      <c r="I12" s="5" t="b">
        <f t="shared" si="0"/>
        <v>1</v>
      </c>
      <c r="J12" s="5" t="b">
        <f t="shared" si="0"/>
        <v>0</v>
      </c>
      <c r="K12" s="5" t="b">
        <f t="shared" si="0"/>
        <v>0</v>
      </c>
      <c r="L12" s="5" t="b">
        <f t="shared" si="0"/>
        <v>0</v>
      </c>
    </row>
    <row r="13" spans="1:12" x14ac:dyDescent="0.25">
      <c r="A13" s="3">
        <v>40.14</v>
      </c>
      <c r="B13" s="3">
        <v>42.31</v>
      </c>
      <c r="C13" s="3">
        <v>37.619999999999997</v>
      </c>
      <c r="D13" s="3">
        <v>59.97</v>
      </c>
      <c r="E13" s="3">
        <v>42.57</v>
      </c>
      <c r="F13" s="4" t="str">
        <f t="shared" si="1"/>
        <v>Compressor R Us</v>
      </c>
      <c r="H13" s="5" t="b">
        <f t="shared" si="0"/>
        <v>0</v>
      </c>
      <c r="I13" s="5" t="b">
        <f t="shared" si="0"/>
        <v>0</v>
      </c>
      <c r="J13" s="5" t="b">
        <f t="shared" si="0"/>
        <v>1</v>
      </c>
      <c r="K13" s="5" t="b">
        <f t="shared" si="0"/>
        <v>0</v>
      </c>
      <c r="L13" s="5" t="b">
        <f t="shared" si="0"/>
        <v>0</v>
      </c>
    </row>
    <row r="14" spans="1:12" x14ac:dyDescent="0.25">
      <c r="A14" s="3">
        <v>36.480000000000004</v>
      </c>
      <c r="B14" s="3">
        <v>40.79</v>
      </c>
      <c r="C14" s="3">
        <v>53.239999999999995</v>
      </c>
      <c r="D14" s="3">
        <v>51.010000000000005</v>
      </c>
      <c r="E14" s="3">
        <v>51.239999999999995</v>
      </c>
      <c r="F14" s="4" t="str">
        <f t="shared" si="1"/>
        <v>Crank'ys</v>
      </c>
      <c r="H14" s="5" t="b">
        <f t="shared" si="0"/>
        <v>1</v>
      </c>
      <c r="I14" s="5" t="b">
        <f t="shared" si="0"/>
        <v>0</v>
      </c>
      <c r="J14" s="5" t="b">
        <f t="shared" si="0"/>
        <v>0</v>
      </c>
      <c r="K14" s="5" t="b">
        <f t="shared" si="0"/>
        <v>0</v>
      </c>
      <c r="L14" s="5" t="b">
        <f t="shared" si="0"/>
        <v>0</v>
      </c>
    </row>
    <row r="15" spans="1:12" x14ac:dyDescent="0.25">
      <c r="A15" s="3">
        <v>38.57</v>
      </c>
      <c r="B15" s="3">
        <v>40.06</v>
      </c>
      <c r="C15" s="3">
        <v>54.71</v>
      </c>
      <c r="D15" s="3">
        <v>39.700000000000003</v>
      </c>
      <c r="E15" s="3">
        <v>54.730000000000004</v>
      </c>
      <c r="F15" s="4" t="str">
        <f t="shared" si="1"/>
        <v>Crank'ys</v>
      </c>
      <c r="H15" s="5" t="b">
        <f t="shared" si="0"/>
        <v>1</v>
      </c>
      <c r="I15" s="5" t="b">
        <f t="shared" si="0"/>
        <v>0</v>
      </c>
      <c r="J15" s="5" t="b">
        <f t="shared" si="0"/>
        <v>0</v>
      </c>
      <c r="K15" s="5" t="b">
        <f t="shared" si="0"/>
        <v>0</v>
      </c>
      <c r="L15" s="5" t="b">
        <f t="shared" si="0"/>
        <v>0</v>
      </c>
    </row>
    <row r="16" spans="1:12" x14ac:dyDescent="0.25">
      <c r="A16" s="3">
        <v>52.66</v>
      </c>
      <c r="B16" s="3">
        <v>43.61</v>
      </c>
      <c r="C16" s="3">
        <v>59.980000000000004</v>
      </c>
      <c r="D16" s="3">
        <v>34.61</v>
      </c>
      <c r="E16" s="3">
        <v>52.65</v>
      </c>
      <c r="F16" s="4" t="str">
        <f t="shared" si="1"/>
        <v>Mech-Aid</v>
      </c>
      <c r="H16" s="5" t="b">
        <f t="shared" si="0"/>
        <v>0</v>
      </c>
      <c r="I16" s="5" t="b">
        <f t="shared" si="0"/>
        <v>0</v>
      </c>
      <c r="J16" s="5" t="b">
        <f t="shared" si="0"/>
        <v>0</v>
      </c>
      <c r="K16" s="5" t="b">
        <f t="shared" si="0"/>
        <v>1</v>
      </c>
      <c r="L16" s="5" t="b">
        <f t="shared" si="0"/>
        <v>0</v>
      </c>
    </row>
  </sheetData>
  <conditionalFormatting sqref="A5:E16">
    <cfRule type="expression" dxfId="5" priority="1">
      <formula>MIN($A5:$E5)=A5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0000"/>
  </sheetPr>
  <dimension ref="A1:K14"/>
  <sheetViews>
    <sheetView zoomScale="160" zoomScaleNormal="160" workbookViewId="0">
      <selection activeCell="A4" sqref="A4:A14"/>
    </sheetView>
  </sheetViews>
  <sheetFormatPr defaultRowHeight="15" x14ac:dyDescent="0.25"/>
  <cols>
    <col min="1" max="1" width="10.85546875" customWidth="1"/>
  </cols>
  <sheetData>
    <row r="1" spans="1:11" x14ac:dyDescent="0.25">
      <c r="A1" s="8" t="s">
        <v>29</v>
      </c>
      <c r="B1" s="9"/>
      <c r="C1" s="9"/>
      <c r="D1" s="9"/>
      <c r="E1" s="9"/>
      <c r="F1" s="9"/>
      <c r="G1" s="9"/>
      <c r="H1" s="9"/>
      <c r="I1" s="9"/>
      <c r="J1" s="9"/>
      <c r="K1" s="10"/>
    </row>
    <row r="3" spans="1:11" x14ac:dyDescent="0.25">
      <c r="B3" s="7" t="s">
        <v>6</v>
      </c>
      <c r="C3" s="7" t="s">
        <v>7</v>
      </c>
      <c r="D3" s="7" t="s">
        <v>8</v>
      </c>
      <c r="E3" s="7" t="s">
        <v>9</v>
      </c>
      <c r="F3" s="7" t="s">
        <v>10</v>
      </c>
      <c r="G3" s="7" t="s">
        <v>11</v>
      </c>
      <c r="H3" s="7" t="s">
        <v>12</v>
      </c>
      <c r="I3" s="7" t="s">
        <v>13</v>
      </c>
      <c r="J3" s="7" t="s">
        <v>14</v>
      </c>
      <c r="K3" s="7" t="s">
        <v>15</v>
      </c>
    </row>
    <row r="4" spans="1:11" x14ac:dyDescent="0.25">
      <c r="A4" s="6" t="s">
        <v>16</v>
      </c>
      <c r="B4" s="6">
        <v>4</v>
      </c>
      <c r="C4" s="6"/>
      <c r="D4" s="6"/>
      <c r="E4" s="6"/>
      <c r="F4" s="6"/>
      <c r="G4" s="6"/>
      <c r="H4" s="6"/>
      <c r="I4" s="6"/>
      <c r="J4" s="6"/>
      <c r="K4" s="6"/>
    </row>
    <row r="5" spans="1:11" x14ac:dyDescent="0.25">
      <c r="A5" s="6" t="s">
        <v>17</v>
      </c>
      <c r="B5" s="6"/>
      <c r="C5" s="6"/>
      <c r="D5" s="6"/>
      <c r="E5" s="6"/>
      <c r="F5" s="6"/>
      <c r="G5" s="6"/>
      <c r="H5" s="6"/>
      <c r="I5" s="6">
        <v>4</v>
      </c>
      <c r="J5" s="6"/>
      <c r="K5" s="6"/>
    </row>
    <row r="6" spans="1:11" x14ac:dyDescent="0.25">
      <c r="A6" s="6" t="s">
        <v>18</v>
      </c>
      <c r="B6" s="6"/>
      <c r="C6" s="6"/>
      <c r="D6" s="6"/>
      <c r="E6" s="6">
        <v>3</v>
      </c>
      <c r="F6" s="6"/>
      <c r="G6" s="6">
        <v>34</v>
      </c>
      <c r="H6" s="6"/>
      <c r="I6" s="6"/>
      <c r="J6" s="6"/>
      <c r="K6" s="6"/>
    </row>
    <row r="7" spans="1:11" x14ac:dyDescent="0.25">
      <c r="A7" s="6" t="s">
        <v>19</v>
      </c>
      <c r="B7" s="6"/>
      <c r="C7" s="6"/>
      <c r="D7" s="6">
        <v>34</v>
      </c>
      <c r="E7" s="6"/>
      <c r="F7" s="6"/>
      <c r="G7" s="6"/>
      <c r="H7" s="6"/>
      <c r="I7" s="6"/>
      <c r="J7" s="6"/>
      <c r="K7" s="6"/>
    </row>
    <row r="8" spans="1:11" x14ac:dyDescent="0.25">
      <c r="A8" s="6" t="s">
        <v>20</v>
      </c>
      <c r="B8" s="6">
        <v>3</v>
      </c>
      <c r="C8" s="6"/>
      <c r="D8" s="6"/>
      <c r="E8" s="6"/>
      <c r="F8" s="6"/>
      <c r="G8" s="6"/>
      <c r="H8" s="6"/>
      <c r="I8" s="6"/>
      <c r="J8" s="6"/>
      <c r="K8" s="6"/>
    </row>
    <row r="9" spans="1:11" x14ac:dyDescent="0.25">
      <c r="A9" s="6" t="s">
        <v>21</v>
      </c>
      <c r="B9" s="6"/>
      <c r="C9" s="6"/>
      <c r="D9" s="6"/>
      <c r="E9" s="6"/>
      <c r="F9" s="6"/>
      <c r="G9" s="6"/>
      <c r="H9" s="6"/>
      <c r="I9" s="6"/>
      <c r="J9" s="6"/>
      <c r="K9" s="6"/>
    </row>
    <row r="10" spans="1:11" x14ac:dyDescent="0.25">
      <c r="A10" s="6" t="s">
        <v>22</v>
      </c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 x14ac:dyDescent="0.25">
      <c r="A11" s="6" t="s">
        <v>23</v>
      </c>
      <c r="B11" s="6"/>
      <c r="C11" s="6"/>
      <c r="D11" s="6"/>
      <c r="E11" s="6">
        <v>3</v>
      </c>
      <c r="F11" s="6"/>
      <c r="G11" s="6">
        <v>4</v>
      </c>
      <c r="H11" s="6"/>
      <c r="I11" s="6">
        <v>5</v>
      </c>
      <c r="J11" s="6"/>
      <c r="K11" s="6"/>
    </row>
    <row r="12" spans="1:11" x14ac:dyDescent="0.25">
      <c r="A12" s="6" t="s">
        <v>24</v>
      </c>
      <c r="B12" s="6">
        <v>3</v>
      </c>
      <c r="C12" s="6">
        <v>3</v>
      </c>
      <c r="D12" s="6"/>
      <c r="E12" s="6"/>
      <c r="F12" s="6"/>
      <c r="G12" s="6"/>
      <c r="H12" s="6"/>
      <c r="I12" s="6"/>
      <c r="J12" s="6"/>
      <c r="K12" s="6"/>
    </row>
    <row r="13" spans="1:11" x14ac:dyDescent="0.25">
      <c r="A13" s="6" t="s">
        <v>25</v>
      </c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 x14ac:dyDescent="0.25">
      <c r="A14" s="6" t="s">
        <v>26</v>
      </c>
      <c r="B14" s="6"/>
      <c r="C14" s="6"/>
      <c r="D14" s="6"/>
      <c r="E14" s="6"/>
      <c r="F14" s="6"/>
      <c r="G14" s="6"/>
      <c r="H14" s="6"/>
      <c r="I14" s="6"/>
      <c r="J14" s="6"/>
      <c r="K14" s="6"/>
    </row>
  </sheetData>
  <conditionalFormatting sqref="A4:A14">
    <cfRule type="expression" dxfId="4" priority="1">
      <formula>NOT(COUNTA(B4:K4))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0000"/>
  </sheetPr>
  <dimension ref="A1:G66"/>
  <sheetViews>
    <sheetView zoomScale="70" zoomScaleNormal="70" workbookViewId="0">
      <selection activeCell="A3" sqref="A3"/>
    </sheetView>
  </sheetViews>
  <sheetFormatPr defaultRowHeight="15" x14ac:dyDescent="0.25"/>
  <cols>
    <col min="1" max="1" width="13.85546875" customWidth="1"/>
    <col min="3" max="3" width="17.85546875" customWidth="1"/>
    <col min="4" max="4" width="25.85546875" customWidth="1"/>
    <col min="5" max="5" width="15.140625" customWidth="1"/>
  </cols>
  <sheetData>
    <row r="1" spans="1:7" x14ac:dyDescent="0.25">
      <c r="A1" t="s">
        <v>30</v>
      </c>
    </row>
    <row r="2" spans="1:7" x14ac:dyDescent="0.25">
      <c r="A2" t="s">
        <v>31</v>
      </c>
    </row>
    <row r="3" spans="1:7" x14ac:dyDescent="0.25">
      <c r="A3" t="str">
        <f>"Be sure to create enough classes with upper and lower limits so that all values will be counted given that the "&amp;C7&amp;" = "&amp;D7&amp;" and the "&amp;C8&amp;" = "&amp;D8&amp;"."</f>
        <v>Be sure to create enough classes with upper and lower limits so that all values will be counted given that the Min = 6 and the Max = 98.</v>
      </c>
    </row>
    <row r="4" spans="1:7" x14ac:dyDescent="0.25">
      <c r="A4" t="s">
        <v>32</v>
      </c>
    </row>
    <row r="5" spans="1:7" x14ac:dyDescent="0.25">
      <c r="A5" t="s">
        <v>33</v>
      </c>
    </row>
    <row r="7" spans="1:7" x14ac:dyDescent="0.25">
      <c r="A7" s="7" t="s">
        <v>27</v>
      </c>
      <c r="C7" s="1" t="s">
        <v>34</v>
      </c>
      <c r="D7" s="4">
        <f>MIN(A8:A66)</f>
        <v>6</v>
      </c>
    </row>
    <row r="8" spans="1:7" x14ac:dyDescent="0.25">
      <c r="A8" s="6">
        <v>19</v>
      </c>
      <c r="C8" s="1" t="s">
        <v>35</v>
      </c>
      <c r="D8" s="4">
        <f>MAX(A8:A66)</f>
        <v>98</v>
      </c>
    </row>
    <row r="9" spans="1:7" x14ac:dyDescent="0.25">
      <c r="A9" s="6">
        <v>25</v>
      </c>
      <c r="G9" t="s">
        <v>38</v>
      </c>
    </row>
    <row r="10" spans="1:7" x14ac:dyDescent="0.25">
      <c r="A10" s="6">
        <v>85</v>
      </c>
      <c r="C10" s="7" t="s">
        <v>36</v>
      </c>
      <c r="D10" s="7" t="s">
        <v>39</v>
      </c>
      <c r="E10" s="7" t="s">
        <v>37</v>
      </c>
    </row>
    <row r="11" spans="1:7" x14ac:dyDescent="0.25">
      <c r="A11" s="6">
        <v>74</v>
      </c>
      <c r="C11" s="12" t="str">
        <f>"         Score &lt;= "&amp;D11</f>
        <v xml:space="preserve">         Score &lt;= 10</v>
      </c>
      <c r="D11" s="6">
        <v>10</v>
      </c>
      <c r="E11" s="4">
        <f t="array" ref="E11:E20">FREQUENCY(A8:A66,D11:D20)</f>
        <v>1</v>
      </c>
    </row>
    <row r="12" spans="1:7" x14ac:dyDescent="0.25">
      <c r="A12" s="6">
        <v>69</v>
      </c>
      <c r="C12" s="6" t="str">
        <f t="shared" ref="C12:C20" si="0">D11&amp;" &lt; Score &lt;= "&amp;D12</f>
        <v>10 &lt; Score &lt;= 20</v>
      </c>
      <c r="D12" s="6">
        <v>20</v>
      </c>
      <c r="E12" s="4">
        <v>6</v>
      </c>
    </row>
    <row r="13" spans="1:7" x14ac:dyDescent="0.25">
      <c r="A13" s="6">
        <v>42</v>
      </c>
      <c r="C13" s="6" t="str">
        <f t="shared" si="0"/>
        <v>20 &lt; Score &lt;= 30</v>
      </c>
      <c r="D13" s="6">
        <v>30</v>
      </c>
      <c r="E13" s="4">
        <v>1</v>
      </c>
    </row>
    <row r="14" spans="1:7" x14ac:dyDescent="0.25">
      <c r="A14" s="6">
        <v>35</v>
      </c>
      <c r="C14" s="6" t="str">
        <f t="shared" si="0"/>
        <v>30 &lt; Score &lt;= 40</v>
      </c>
      <c r="D14" s="6">
        <v>40</v>
      </c>
      <c r="E14" s="4">
        <v>4</v>
      </c>
    </row>
    <row r="15" spans="1:7" x14ac:dyDescent="0.25">
      <c r="A15" s="6">
        <v>76</v>
      </c>
      <c r="C15" s="6" t="str">
        <f t="shared" si="0"/>
        <v>40 &lt; Score &lt;= 50</v>
      </c>
      <c r="D15" s="6">
        <v>50</v>
      </c>
      <c r="E15" s="4">
        <v>5</v>
      </c>
    </row>
    <row r="16" spans="1:7" x14ac:dyDescent="0.25">
      <c r="A16" s="6">
        <v>61</v>
      </c>
      <c r="C16" s="6" t="str">
        <f t="shared" si="0"/>
        <v>50 &lt; Score &lt;= 60</v>
      </c>
      <c r="D16" s="6">
        <v>60</v>
      </c>
      <c r="E16" s="4">
        <v>5</v>
      </c>
    </row>
    <row r="17" spans="1:5" x14ac:dyDescent="0.25">
      <c r="A17" s="6">
        <v>71</v>
      </c>
      <c r="C17" s="6" t="str">
        <f t="shared" si="0"/>
        <v>60 &lt; Score &lt;= 70</v>
      </c>
      <c r="D17" s="6">
        <v>70</v>
      </c>
      <c r="E17" s="4">
        <v>9</v>
      </c>
    </row>
    <row r="18" spans="1:5" x14ac:dyDescent="0.25">
      <c r="A18" s="6">
        <v>73</v>
      </c>
      <c r="C18" s="6" t="str">
        <f t="shared" si="0"/>
        <v>70 &lt; Score &lt;= 80</v>
      </c>
      <c r="D18" s="6">
        <v>80</v>
      </c>
      <c r="E18" s="4">
        <v>15</v>
      </c>
    </row>
    <row r="19" spans="1:5" x14ac:dyDescent="0.25">
      <c r="A19" s="6">
        <v>74</v>
      </c>
      <c r="C19" s="6" t="str">
        <f t="shared" si="0"/>
        <v>80 &lt; Score &lt;= 90</v>
      </c>
      <c r="D19" s="6">
        <v>90</v>
      </c>
      <c r="E19" s="4">
        <v>8</v>
      </c>
    </row>
    <row r="20" spans="1:5" x14ac:dyDescent="0.25">
      <c r="A20" s="6">
        <v>51</v>
      </c>
      <c r="C20" s="6" t="str">
        <f t="shared" si="0"/>
        <v>90 &lt; Score &lt;= 100</v>
      </c>
      <c r="D20" s="6">
        <v>100</v>
      </c>
      <c r="E20" s="4">
        <v>5</v>
      </c>
    </row>
    <row r="21" spans="1:5" x14ac:dyDescent="0.25">
      <c r="A21" s="6">
        <v>75</v>
      </c>
      <c r="C21" s="6" t="str">
        <f>D20&amp;" &lt; Score"</f>
        <v>100 &lt; Score</v>
      </c>
      <c r="D21" s="6"/>
      <c r="E21" s="4"/>
    </row>
    <row r="22" spans="1:5" x14ac:dyDescent="0.25">
      <c r="A22" s="6">
        <v>48</v>
      </c>
    </row>
    <row r="23" spans="1:5" x14ac:dyDescent="0.25">
      <c r="A23" s="6">
        <v>13</v>
      </c>
    </row>
    <row r="24" spans="1:5" x14ac:dyDescent="0.25">
      <c r="A24" s="6">
        <v>82</v>
      </c>
    </row>
    <row r="25" spans="1:5" x14ac:dyDescent="0.25">
      <c r="A25" s="6">
        <v>69</v>
      </c>
    </row>
    <row r="26" spans="1:5" x14ac:dyDescent="0.25">
      <c r="A26" s="6">
        <v>67</v>
      </c>
    </row>
    <row r="27" spans="1:5" x14ac:dyDescent="0.25">
      <c r="A27" s="6">
        <v>81</v>
      </c>
      <c r="C27" s="13" t="s">
        <v>40</v>
      </c>
      <c r="D27" t="s">
        <v>52</v>
      </c>
    </row>
    <row r="28" spans="1:5" x14ac:dyDescent="0.25">
      <c r="A28" s="6">
        <v>13</v>
      </c>
      <c r="C28" s="11" t="s">
        <v>42</v>
      </c>
      <c r="D28" s="14">
        <v>1</v>
      </c>
    </row>
    <row r="29" spans="1:5" x14ac:dyDescent="0.25">
      <c r="A29" s="6">
        <v>57</v>
      </c>
      <c r="C29" s="11" t="s">
        <v>43</v>
      </c>
      <c r="D29" s="14">
        <v>6</v>
      </c>
    </row>
    <row r="30" spans="1:5" x14ac:dyDescent="0.25">
      <c r="A30" s="6">
        <v>98</v>
      </c>
      <c r="C30" s="11" t="s">
        <v>44</v>
      </c>
      <c r="D30" s="14">
        <v>1</v>
      </c>
    </row>
    <row r="31" spans="1:5" x14ac:dyDescent="0.25">
      <c r="A31" s="6">
        <v>86</v>
      </c>
      <c r="C31" s="11" t="s">
        <v>45</v>
      </c>
      <c r="D31" s="14">
        <v>4</v>
      </c>
    </row>
    <row r="32" spans="1:5" x14ac:dyDescent="0.25">
      <c r="A32" s="6">
        <v>83</v>
      </c>
      <c r="C32" s="11" t="s">
        <v>46</v>
      </c>
      <c r="D32" s="14">
        <v>5</v>
      </c>
    </row>
    <row r="33" spans="1:6" x14ac:dyDescent="0.25">
      <c r="A33" s="6">
        <v>89</v>
      </c>
      <c r="C33" s="11" t="s">
        <v>47</v>
      </c>
      <c r="D33" s="14">
        <v>5</v>
      </c>
    </row>
    <row r="34" spans="1:6" x14ac:dyDescent="0.25">
      <c r="A34" s="6">
        <v>97</v>
      </c>
      <c r="C34" s="11" t="s">
        <v>48</v>
      </c>
      <c r="D34" s="14">
        <v>9</v>
      </c>
    </row>
    <row r="35" spans="1:6" x14ac:dyDescent="0.25">
      <c r="A35" s="6">
        <v>80</v>
      </c>
      <c r="C35" s="11" t="s">
        <v>49</v>
      </c>
      <c r="D35" s="14">
        <v>15</v>
      </c>
    </row>
    <row r="36" spans="1:6" x14ac:dyDescent="0.25">
      <c r="A36" s="6">
        <v>75</v>
      </c>
      <c r="C36" s="11" t="s">
        <v>50</v>
      </c>
      <c r="D36" s="14">
        <v>8</v>
      </c>
    </row>
    <row r="37" spans="1:6" x14ac:dyDescent="0.25">
      <c r="A37" s="6">
        <v>40</v>
      </c>
      <c r="C37" s="11" t="s">
        <v>51</v>
      </c>
      <c r="D37" s="14">
        <v>5</v>
      </c>
    </row>
    <row r="38" spans="1:6" x14ac:dyDescent="0.25">
      <c r="A38" s="6">
        <v>6</v>
      </c>
      <c r="C38" s="11" t="s">
        <v>41</v>
      </c>
      <c r="D38" s="14">
        <v>59</v>
      </c>
    </row>
    <row r="39" spans="1:6" x14ac:dyDescent="0.25">
      <c r="A39" s="6">
        <v>71</v>
      </c>
    </row>
    <row r="40" spans="1:6" x14ac:dyDescent="0.25">
      <c r="A40" s="6">
        <v>50</v>
      </c>
      <c r="C40" s="11" t="s">
        <v>53</v>
      </c>
      <c r="D40">
        <v>10</v>
      </c>
    </row>
    <row r="41" spans="1:6" x14ac:dyDescent="0.25">
      <c r="A41" s="6">
        <v>49</v>
      </c>
    </row>
    <row r="42" spans="1:6" x14ac:dyDescent="0.25">
      <c r="A42" s="6">
        <v>77</v>
      </c>
      <c r="C42" s="7" t="s">
        <v>36</v>
      </c>
      <c r="D42" s="7" t="s">
        <v>54</v>
      </c>
      <c r="E42" s="7" t="s">
        <v>39</v>
      </c>
      <c r="F42" s="7" t="s">
        <v>37</v>
      </c>
    </row>
    <row r="43" spans="1:6" x14ac:dyDescent="0.25">
      <c r="A43" s="6">
        <v>75</v>
      </c>
      <c r="C43" s="6" t="str">
        <f>D43&amp;" &lt;= Score &lt; "&amp;E43</f>
        <v>0 &lt;= Score &lt; 10</v>
      </c>
      <c r="D43" s="6">
        <v>0</v>
      </c>
      <c r="E43" s="6">
        <f>D43+$D$40</f>
        <v>10</v>
      </c>
      <c r="F43" s="4">
        <f t="shared" ref="F43:F53" si="1">COUNTIFS($A$8:$A$66,"&gt;="&amp;D43,$A$8:$A$66,"&lt;"&amp;E43)</f>
        <v>1</v>
      </c>
    </row>
    <row r="44" spans="1:6" x14ac:dyDescent="0.25">
      <c r="A44" s="6">
        <v>56</v>
      </c>
      <c r="C44" s="6" t="str">
        <f>D44&amp;" &lt;= Score &lt; "&amp;E44</f>
        <v>10 &lt;= Score &lt; 20</v>
      </c>
      <c r="D44" s="6">
        <f>E43</f>
        <v>10</v>
      </c>
      <c r="E44" s="6">
        <f t="shared" ref="E44:E53" si="2">D44+$D$40</f>
        <v>20</v>
      </c>
      <c r="F44" s="4">
        <f t="shared" si="1"/>
        <v>5</v>
      </c>
    </row>
    <row r="45" spans="1:6" x14ac:dyDescent="0.25">
      <c r="A45" s="6">
        <v>20</v>
      </c>
      <c r="C45" s="6" t="str">
        <f t="shared" ref="C45:C52" si="3">D45&amp;" &lt;= Score &lt; "&amp;E45</f>
        <v>20 &lt;= Score &lt; 30</v>
      </c>
      <c r="D45" s="6">
        <f t="shared" ref="D45:D53" si="4">E44</f>
        <v>20</v>
      </c>
      <c r="E45" s="6">
        <f t="shared" si="2"/>
        <v>30</v>
      </c>
      <c r="F45" s="4">
        <f t="shared" si="1"/>
        <v>2</v>
      </c>
    </row>
    <row r="46" spans="1:6" x14ac:dyDescent="0.25">
      <c r="A46" s="6">
        <v>13</v>
      </c>
      <c r="C46" s="6" t="str">
        <f t="shared" si="3"/>
        <v>30 &lt;= Score &lt; 40</v>
      </c>
      <c r="D46" s="6">
        <f t="shared" si="4"/>
        <v>30</v>
      </c>
      <c r="E46" s="6">
        <f t="shared" si="2"/>
        <v>40</v>
      </c>
      <c r="F46" s="4">
        <f t="shared" si="1"/>
        <v>2</v>
      </c>
    </row>
    <row r="47" spans="1:6" x14ac:dyDescent="0.25">
      <c r="A47" s="6">
        <v>35</v>
      </c>
      <c r="C47" s="6" t="str">
        <f t="shared" si="3"/>
        <v>40 &lt;= Score &lt; 50</v>
      </c>
      <c r="D47" s="6">
        <f t="shared" si="4"/>
        <v>40</v>
      </c>
      <c r="E47" s="6">
        <f t="shared" si="2"/>
        <v>50</v>
      </c>
      <c r="F47" s="4">
        <f t="shared" si="1"/>
        <v>6</v>
      </c>
    </row>
    <row r="48" spans="1:6" x14ac:dyDescent="0.25">
      <c r="A48" s="6">
        <v>70</v>
      </c>
      <c r="C48" s="6" t="str">
        <f t="shared" si="3"/>
        <v>50 &lt;= Score &lt; 60</v>
      </c>
      <c r="D48" s="6">
        <f t="shared" si="4"/>
        <v>50</v>
      </c>
      <c r="E48" s="6">
        <f t="shared" si="2"/>
        <v>60</v>
      </c>
      <c r="F48" s="4">
        <f t="shared" si="1"/>
        <v>6</v>
      </c>
    </row>
    <row r="49" spans="1:6" x14ac:dyDescent="0.25">
      <c r="A49" s="6">
        <v>96</v>
      </c>
      <c r="C49" s="6" t="str">
        <f t="shared" si="3"/>
        <v>60 &lt;= Score &lt; 70</v>
      </c>
      <c r="D49" s="6">
        <f t="shared" si="4"/>
        <v>60</v>
      </c>
      <c r="E49" s="6">
        <f t="shared" si="2"/>
        <v>70</v>
      </c>
      <c r="F49" s="4">
        <f t="shared" si="1"/>
        <v>7</v>
      </c>
    </row>
    <row r="50" spans="1:6" x14ac:dyDescent="0.25">
      <c r="A50" s="6">
        <v>18</v>
      </c>
      <c r="C50" s="6" t="str">
        <f t="shared" si="3"/>
        <v>70 &lt;= Score &lt; 80</v>
      </c>
      <c r="D50" s="6">
        <f t="shared" si="4"/>
        <v>70</v>
      </c>
      <c r="E50" s="6">
        <f t="shared" si="2"/>
        <v>80</v>
      </c>
      <c r="F50" s="4">
        <f t="shared" si="1"/>
        <v>16</v>
      </c>
    </row>
    <row r="51" spans="1:6" x14ac:dyDescent="0.25">
      <c r="A51" s="6">
        <v>62</v>
      </c>
      <c r="C51" s="6" t="str">
        <f t="shared" si="3"/>
        <v>80 &lt;= Score &lt; 90</v>
      </c>
      <c r="D51" s="6">
        <f t="shared" si="4"/>
        <v>80</v>
      </c>
      <c r="E51" s="6">
        <f t="shared" si="2"/>
        <v>90</v>
      </c>
      <c r="F51" s="4">
        <f t="shared" si="1"/>
        <v>9</v>
      </c>
    </row>
    <row r="52" spans="1:6" x14ac:dyDescent="0.25">
      <c r="A52" s="6">
        <v>98</v>
      </c>
      <c r="C52" s="6" t="str">
        <f t="shared" si="3"/>
        <v>90 &lt;= Score &lt; 100</v>
      </c>
      <c r="D52" s="6">
        <f t="shared" si="4"/>
        <v>90</v>
      </c>
      <c r="E52" s="6">
        <f t="shared" si="2"/>
        <v>100</v>
      </c>
      <c r="F52" s="4">
        <f t="shared" si="1"/>
        <v>5</v>
      </c>
    </row>
    <row r="53" spans="1:6" x14ac:dyDescent="0.25">
      <c r="A53" s="6">
        <v>63</v>
      </c>
      <c r="C53" s="6" t="str">
        <f>D53&amp;" &lt;= Score"</f>
        <v>100 &lt;= Score</v>
      </c>
      <c r="D53" s="6">
        <f t="shared" si="4"/>
        <v>100</v>
      </c>
      <c r="E53" s="6">
        <f t="shared" si="2"/>
        <v>110</v>
      </c>
      <c r="F53" s="4">
        <f t="shared" si="1"/>
        <v>0</v>
      </c>
    </row>
    <row r="54" spans="1:6" x14ac:dyDescent="0.25">
      <c r="A54" s="6">
        <v>49</v>
      </c>
    </row>
    <row r="55" spans="1:6" x14ac:dyDescent="0.25">
      <c r="A55" s="6">
        <v>70</v>
      </c>
    </row>
    <row r="56" spans="1:6" x14ac:dyDescent="0.25">
      <c r="A56" s="6">
        <v>68</v>
      </c>
    </row>
    <row r="57" spans="1:6" x14ac:dyDescent="0.25">
      <c r="A57" s="6">
        <v>83</v>
      </c>
    </row>
    <row r="58" spans="1:6" x14ac:dyDescent="0.25">
      <c r="A58" s="6">
        <v>83</v>
      </c>
    </row>
    <row r="59" spans="1:6" x14ac:dyDescent="0.25">
      <c r="A59" s="6">
        <v>53</v>
      </c>
    </row>
    <row r="60" spans="1:6" x14ac:dyDescent="0.25">
      <c r="A60" s="6">
        <v>72</v>
      </c>
    </row>
    <row r="61" spans="1:6" x14ac:dyDescent="0.25">
      <c r="A61" s="6">
        <v>40</v>
      </c>
    </row>
    <row r="62" spans="1:6" x14ac:dyDescent="0.25">
      <c r="A62" s="6">
        <v>76</v>
      </c>
    </row>
    <row r="63" spans="1:6" x14ac:dyDescent="0.25">
      <c r="A63" s="6">
        <v>98</v>
      </c>
    </row>
    <row r="64" spans="1:6" x14ac:dyDescent="0.25">
      <c r="A64" s="6">
        <v>71</v>
      </c>
    </row>
    <row r="65" spans="1:1" x14ac:dyDescent="0.25">
      <c r="A65" s="6">
        <v>79</v>
      </c>
    </row>
    <row r="66" spans="1:1" x14ac:dyDescent="0.25">
      <c r="A66" s="6">
        <v>55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P(1)</vt:lpstr>
      <vt:lpstr>P(2)</vt:lpstr>
      <vt:lpstr>P(3)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Ngoc Dinh</cp:lastModifiedBy>
  <dcterms:created xsi:type="dcterms:W3CDTF">2016-05-22T03:25:16Z</dcterms:created>
  <dcterms:modified xsi:type="dcterms:W3CDTF">2018-09-19T16:19:12Z</dcterms:modified>
</cp:coreProperties>
</file>