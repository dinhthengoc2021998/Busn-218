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C:\Users\dinht\Downloads\"/>
    </mc:Choice>
  </mc:AlternateContent>
  <xr:revisionPtr revIDLastSave="0" documentId="13_ncr:1_{F0B47D05-A6C0-4CAA-8EB5-9853A9AEC775}" xr6:coauthVersionLast="37" xr6:coauthVersionMax="37" xr10:uidLastSave="{00000000-0000-0000-0000-000000000000}"/>
  <bookViews>
    <workbookView xWindow="0" yWindow="0" windowWidth="24000" windowHeight="8685" firstSheet="1" activeTab="2" xr2:uid="{00000000-000D-0000-FFFF-FFFF00000000}"/>
  </bookViews>
  <sheets>
    <sheet name="Score" sheetId="3" state="veryHidden" r:id="rId1"/>
    <sheet name="GPA_PV" sheetId="4" r:id="rId2"/>
    <sheet name="Project(2)" sheetId="1" r:id="rId3"/>
    <sheet name="Project(2an)" sheetId="2" state="veryHidden" r:id="rId4"/>
  </sheets>
  <definedNames>
    <definedName name="ExternalData_1" localSheetId="1" hidden="1">GPA_PV!$A$1:$C$31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7" i="3" l="1"/>
  <c r="K2" i="3"/>
  <c r="K3" i="3"/>
  <c r="K4" i="3"/>
  <c r="K5" i="3"/>
  <c r="K6" i="3"/>
  <c r="D9" i="3"/>
  <c r="B9" i="3"/>
  <c r="D8" i="3"/>
  <c r="C8" i="3"/>
  <c r="C7" i="3"/>
  <c r="D7" i="3" s="1"/>
  <c r="C6" i="3"/>
  <c r="D6" i="3" s="1"/>
  <c r="C5" i="3"/>
  <c r="D5" i="3" s="1"/>
  <c r="C4" i="3"/>
  <c r="D4" i="3" s="1"/>
  <c r="C3" i="3"/>
  <c r="D3" i="3" s="1"/>
  <c r="C2" i="3"/>
  <c r="C10" i="3" l="1"/>
  <c r="D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6E7C9D-7698-4809-ABAC-0E39BB905CF9}" keepAlive="1" name="Query - GPA" description="Connection to the 'GPA' query in the workbook." type="5" refreshedVersion="6" background="1" saveData="1">
    <dbPr connection="Provider=Microsoft.Mashup.OleDb.1;Data Source=$Workbook$;Location=GPA;Extended Properties=&quot;&quot;" command="SELECT * FROM [GPA]"/>
  </connection>
</connections>
</file>

<file path=xl/sharedStrings.xml><?xml version="1.0" encoding="utf-8"?>
<sst xmlns="http://schemas.openxmlformats.org/spreadsheetml/2006/main" count="169" uniqueCount="35">
  <si>
    <t>Math 97</t>
  </si>
  <si>
    <t>Eng 101</t>
  </si>
  <si>
    <t>Acc 121</t>
  </si>
  <si>
    <t>Busn 210</t>
  </si>
  <si>
    <t>Busn 218</t>
  </si>
  <si>
    <t>Busn 216</t>
  </si>
  <si>
    <t>International Bus</t>
  </si>
  <si>
    <t>Trade &amp; Logistics</t>
  </si>
  <si>
    <t>Law</t>
  </si>
  <si>
    <t>Business</t>
  </si>
  <si>
    <t>Accounting</t>
  </si>
  <si>
    <t>Class/Major</t>
  </si>
  <si>
    <t>Average GPA Grade</t>
  </si>
  <si>
    <t>1) Unpivot the cross tabulated table. 2) Then Sort GPA Grade "Z to A" within Major ("A to Z"). 3) In Cell B3, describe (write)  what sort of information the sorted table provides and describe (write) why we had to unpivot the table to get this information.</t>
  </si>
  <si>
    <t>GPA</t>
  </si>
  <si>
    <t>Major</t>
  </si>
  <si>
    <t>Class</t>
  </si>
  <si>
    <t>many Names (confusing for students).</t>
  </si>
  <si>
    <t>feature so that I did not clutter up this Excel Workbook file with too</t>
  </si>
  <si>
    <t>I had to delete the Power Query and remove the Excel Table</t>
  </si>
  <si>
    <t>The sorted table shows us what class each major did best in. We had to use the unpivot feature because it is NOT possible to sort the crosstabulated table to show the biggest grade for each major.</t>
  </si>
  <si>
    <t>Graded Element</t>
  </si>
  <si>
    <t>Possible Points</t>
  </si>
  <si>
    <t>Your Points</t>
  </si>
  <si>
    <t>Comments</t>
  </si>
  <si>
    <t>Total Possible:</t>
  </si>
  <si>
    <t>Use Power Query to Unpivot Cross Tabulated Table</t>
  </si>
  <si>
    <t>Sort GPA Grade "Z to A" within Major ("A to Z")</t>
  </si>
  <si>
    <t>Name the Excel Table a Smart Name (Different than Query)</t>
  </si>
  <si>
    <t>Name the Query a Smart Name (Different than Excel Table)</t>
  </si>
  <si>
    <t>Make sure each Field has correct Data Type</t>
  </si>
  <si>
    <t>Written Response</t>
  </si>
  <si>
    <t xml:space="preserve">1) Unpivot the cross tabulated table (Use Power Query and put the output from Power Query on a new sheet). 2) Then Sort GPA Grade "Z to A" within Major ("A to Z"). 3) In Cell B3, describe (write)  what sort of information the sorted table provides and describe (write) why we had to unpivot the table to get this information. </t>
  </si>
  <si>
    <t>Attribute</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</si>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</sst>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206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FF99"/>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theme="9"/>
        <bgColor theme="9"/>
      </patternFill>
    </fill>
    <fill>
      <patternFill patternType="solid">
        <fgColor theme="4"/>
        <bgColor theme="4"/>
      </patternFill>
    </fill>
    <fill>
      <patternFill patternType="solid">
        <fgColor rgb="FF002060"/>
        <bgColor indexed="64"/>
      </patternFill>
    </fill>
    <fill>
      <patternFill patternType="solid">
        <fgColor rgb="FFCCFFCC"/>
        <bgColor indexed="64"/>
      </patternFill>
    </fill>
  </fills>
  <borders count="17">
    <border>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diagonal/>
    </border>
    <border>
      <left/>
      <right/>
      <top style="thin">
        <color theme="9" tint="0.39997558519241921"/>
      </top>
      <bottom/>
      <diagonal/>
    </border>
    <border>
      <left style="thin">
        <color theme="9" tint="0.39997558519241921"/>
      </left>
      <right/>
      <top style="thin">
        <color theme="9" tint="0.39997558519241921"/>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0" fontId="3" fillId="0" borderId="0" xfId="0" applyFont="1"/>
    <xf numFmtId="0" fontId="0" fillId="3" borderId="1" xfId="0" applyFill="1" applyBorder="1" applyAlignment="1">
      <alignment horizontal="centerContinuous" wrapText="1"/>
    </xf>
    <xf numFmtId="0" fontId="0" fillId="3" borderId="2" xfId="0" applyFill="1" applyBorder="1" applyAlignment="1">
      <alignment horizontal="centerContinuous" wrapText="1"/>
    </xf>
    <xf numFmtId="0" fontId="0" fillId="3" borderId="3" xfId="0" applyFill="1" applyBorder="1" applyAlignment="1">
      <alignment horizontal="centerContinuous" wrapText="1"/>
    </xf>
    <xf numFmtId="0" fontId="0" fillId="0" borderId="4" xfId="0" applyNumberFormat="1" applyFont="1" applyBorder="1"/>
    <xf numFmtId="0" fontId="0" fillId="0" borderId="5" xfId="0" applyNumberFormat="1" applyFont="1" applyBorder="1"/>
    <xf numFmtId="0" fontId="0" fillId="0" borderId="6" xfId="0" applyNumberFormat="1" applyFont="1" applyBorder="1"/>
    <xf numFmtId="0" fontId="0" fillId="4" borderId="7" xfId="0" applyNumberFormat="1" applyFont="1" applyFill="1" applyBorder="1"/>
    <xf numFmtId="0" fontId="0" fillId="4" borderId="8" xfId="0" applyNumberFormat="1" applyFont="1" applyFill="1" applyBorder="1"/>
    <xf numFmtId="0" fontId="0" fillId="4" borderId="9" xfId="0" applyNumberFormat="1" applyFont="1" applyFill="1" applyBorder="1"/>
    <xf numFmtId="0" fontId="0" fillId="0" borderId="7" xfId="0" applyNumberFormat="1" applyFont="1" applyBorder="1"/>
    <xf numFmtId="0" fontId="0" fillId="0" borderId="8" xfId="0" applyNumberFormat="1" applyFont="1" applyBorder="1"/>
    <xf numFmtId="0" fontId="0" fillId="0" borderId="9" xfId="0" applyNumberFormat="1" applyFont="1" applyBorder="1"/>
    <xf numFmtId="0" fontId="0" fillId="0" borderId="10" xfId="0" applyFont="1" applyBorder="1"/>
    <xf numFmtId="0" fontId="0" fillId="0" borderId="11" xfId="0" applyFont="1" applyBorder="1"/>
    <xf numFmtId="0" fontId="0" fillId="0" borderId="12" xfId="0" applyFont="1" applyBorder="1"/>
    <xf numFmtId="0" fontId="0" fillId="5" borderId="13" xfId="0" applyFont="1" applyFill="1" applyBorder="1"/>
    <xf numFmtId="0" fontId="0" fillId="5" borderId="14" xfId="0" applyFont="1" applyFill="1" applyBorder="1"/>
    <xf numFmtId="0" fontId="0" fillId="5" borderId="15" xfId="0" applyFont="1" applyFill="1" applyBorder="1"/>
    <xf numFmtId="0" fontId="0" fillId="0" borderId="13" xfId="0" applyFont="1" applyBorder="1"/>
    <xf numFmtId="0" fontId="0" fillId="0" borderId="14" xfId="0" applyFont="1" applyBorder="1"/>
    <xf numFmtId="0" fontId="0" fillId="0" borderId="15" xfId="0" applyFont="1" applyBorder="1"/>
    <xf numFmtId="0" fontId="1" fillId="6" borderId="7" xfId="0" applyNumberFormat="1" applyFont="1" applyFill="1" applyBorder="1"/>
    <xf numFmtId="0" fontId="1" fillId="6" borderId="8" xfId="0" applyNumberFormat="1" applyFont="1" applyFill="1" applyBorder="1"/>
    <xf numFmtId="0" fontId="1" fillId="6" borderId="9" xfId="0" applyNumberFormat="1" applyFont="1" applyFill="1" applyBorder="1"/>
    <xf numFmtId="0" fontId="1" fillId="7" borderId="13" xfId="0" applyFont="1" applyFill="1" applyBorder="1"/>
    <xf numFmtId="0" fontId="1" fillId="7" borderId="14" xfId="0" applyFont="1" applyFill="1" applyBorder="1"/>
    <xf numFmtId="0" fontId="1" fillId="7" borderId="15" xfId="0" applyFont="1" applyFill="1" applyBorder="1"/>
    <xf numFmtId="0" fontId="2" fillId="0" borderId="0" xfId="0" applyFont="1"/>
    <xf numFmtId="0" fontId="4" fillId="8" borderId="16" xfId="0" applyFont="1" applyFill="1" applyBorder="1" applyAlignment="1">
      <alignment wrapText="1"/>
    </xf>
    <xf numFmtId="0" fontId="0" fillId="0" borderId="16" xfId="0" applyBorder="1" applyAlignment="1">
      <alignment wrapText="1"/>
    </xf>
    <xf numFmtId="0" fontId="0" fillId="0" borderId="16" xfId="0" applyBorder="1"/>
    <xf numFmtId="0" fontId="5" fillId="0" borderId="0" xfId="0" applyFont="1"/>
    <xf numFmtId="0" fontId="3" fillId="0" borderId="0" xfId="0" applyFont="1" applyAlignment="1">
      <alignment horizontal="right"/>
    </xf>
    <xf numFmtId="0" fontId="0" fillId="9" borderId="16" xfId="0" applyFill="1" applyBorder="1"/>
    <xf numFmtId="0" fontId="0" fillId="2" borderId="3" xfId="0" applyFill="1" applyBorder="1" applyAlignment="1">
      <alignment horizontal="center" wrapText="1"/>
    </xf>
    <xf numFmtId="0" fontId="0" fillId="2" borderId="2" xfId="0" applyFill="1" applyBorder="1" applyAlignment="1">
      <alignment horizontal="center" wrapText="1"/>
    </xf>
    <xf numFmtId="0" fontId="0" fillId="2" borderId="1" xfId="0" applyFill="1" applyBorder="1" applyAlignment="1">
      <alignment horizontal="center" wrapText="1"/>
    </xf>
    <xf numFmtId="0" fontId="0" fillId="0" borderId="0" xfId="0" applyNumberFormat="1"/>
  </cellXfs>
  <cellStyles count="1">
    <cellStyle name="Normal" xfId="0" builtinId="0"/>
  </cellStyles>
  <dxfs count="4">
    <dxf>
      <numFmt numFmtId="0" formatCode="General"/>
    </dxf>
    <dxf>
      <numFmt numFmtId="0" formatCode="General"/>
    </dxf>
    <dxf>
      <fill>
        <patternFill>
          <bgColor rgb="FF00FF00"/>
        </patternFill>
      </fill>
    </dxf>
    <dxf>
      <fill>
        <patternFill>
          <bgColor rgb="FF00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4B19EEB-8462-4CDF-8FEA-EC5334F78005}" autoFormatId="16" applyNumberFormats="0" applyBorderFormats="0" applyFontFormats="0" applyPatternFormats="0" applyAlignmentFormats="0" applyWidthHeightFormats="0">
  <queryTableRefresh nextId="4">
    <queryTableFields count="3">
      <queryTableField id="1" name="Class/Major" tableColumnId="1"/>
      <queryTableField id="2" name="Attribute" tableColumnId="2"/>
      <queryTableField id="3" name="Valu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E7A0BF-E09B-4DD7-A711-987B8A750C65}" name="GPA_2" displayName="GPA_2" ref="A1:C31" tableType="queryTable" totalsRowShown="0">
  <autoFilter ref="A1:C31" xr:uid="{9A2327D3-F0B4-447F-AB03-F65843A6F0A9}"/>
  <sortState xmlns:xlrd2="http://schemas.microsoft.com/office/spreadsheetml/2017/richdata2" ref="A2:C31">
    <sortCondition ref="A1:A31"/>
  </sortState>
  <tableColumns count="3">
    <tableColumn id="1" xr3:uid="{62287CAB-0DE7-4CE1-A3D8-5BAB240B8C4A}" uniqueName="1" name="Class/Major" queryTableFieldId="1" dataDxfId="1"/>
    <tableColumn id="2" xr3:uid="{1854FCE9-6C54-406D-828E-C239442B54D7}" uniqueName="2" name="Attribute" queryTableFieldId="2" dataDxfId="0"/>
    <tableColumn id="3" xr3:uid="{08DA93C2-DEA0-41C1-A330-B0902FA10986}" uniqueName="3" name="Value" queryTableField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A6DED8-8C42-475E-A8F2-B90AF4B5B4A6}" name="GPA" displayName="GPA" ref="B11:G17" totalsRowShown="0">
  <autoFilter ref="B11:G17" xr:uid="{DCB0F2A7-379A-4B08-9EA4-E598513EC534}"/>
  <tableColumns count="6">
    <tableColumn id="1" xr3:uid="{1BFB6F0F-A6AD-4128-A21E-486A7C99B40A}" name="Class/Major"/>
    <tableColumn id="2" xr3:uid="{46565095-C444-482E-8B9C-38ACB4BC095D}" name="Accounting"/>
    <tableColumn id="3" xr3:uid="{0EBA4C08-D977-4943-95D5-098C23709AC6}" name="Business"/>
    <tableColumn id="4" xr3:uid="{8CF71BC4-5126-47EB-BC3A-B5B442AC1AE9}" name="Law"/>
    <tableColumn id="5" xr3:uid="{F62ABA10-B160-4283-9184-1B6E42C2016C}" name="Trade &amp; Logistics"/>
    <tableColumn id="6" xr3:uid="{E71E6B84-8CB4-4580-AE1F-97C68F4486EA}" name="International B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K10"/>
  <sheetViews>
    <sheetView zoomScale="115" zoomScaleNormal="115" workbookViewId="0">
      <selection activeCell="C10" sqref="C10"/>
    </sheetView>
  </sheetViews>
  <sheetFormatPr defaultRowHeight="15" x14ac:dyDescent="0.25"/>
  <cols>
    <col min="1" max="1" width="56.28515625" customWidth="1"/>
    <col min="2" max="2" width="14" customWidth="1"/>
    <col min="3" max="3" width="14.42578125" customWidth="1"/>
    <col min="4" max="4" width="77.42578125" customWidth="1"/>
  </cols>
  <sheetData>
    <row r="1" spans="1:11" ht="30" x14ac:dyDescent="0.25">
      <c r="A1" s="30" t="s">
        <v>21</v>
      </c>
      <c r="B1" s="30" t="s">
        <v>22</v>
      </c>
      <c r="C1" s="30" t="s">
        <v>23</v>
      </c>
      <c r="D1" s="30" t="s">
        <v>24</v>
      </c>
    </row>
    <row r="2" spans="1:11" x14ac:dyDescent="0.25">
      <c r="A2" s="31" t="s">
        <v>26</v>
      </c>
      <c r="B2" s="32">
        <v>5</v>
      </c>
      <c r="C2" s="32">
        <f t="shared" ref="C2:C6" si="0">B2</f>
        <v>5</v>
      </c>
      <c r="D2" s="31" t="str">
        <f>IF(B2&lt;&gt;C2,K2,"")</f>
        <v/>
      </c>
      <c r="K2" s="32" t="str">
        <f t="shared" ref="K2:K6" si="1">"Didn't "&amp;A2</f>
        <v>Didn't Use Power Query to Unpivot Cross Tabulated Table</v>
      </c>
    </row>
    <row r="3" spans="1:11" x14ac:dyDescent="0.25">
      <c r="A3" s="31" t="s">
        <v>28</v>
      </c>
      <c r="B3" s="32">
        <v>5</v>
      </c>
      <c r="C3" s="32">
        <f t="shared" si="0"/>
        <v>5</v>
      </c>
      <c r="D3" s="31" t="str">
        <f t="shared" ref="D3:D7" si="2">IF(B3&lt;&gt;C3,K3,"")</f>
        <v/>
      </c>
      <c r="K3" s="32" t="str">
        <f t="shared" si="1"/>
        <v>Didn't Name the Excel Table a Smart Name (Different than Query)</v>
      </c>
    </row>
    <row r="4" spans="1:11" x14ac:dyDescent="0.25">
      <c r="A4" s="31" t="s">
        <v>29</v>
      </c>
      <c r="B4" s="32">
        <v>5</v>
      </c>
      <c r="C4" s="32">
        <f t="shared" si="0"/>
        <v>5</v>
      </c>
      <c r="D4" s="31" t="str">
        <f t="shared" si="2"/>
        <v/>
      </c>
      <c r="K4" s="32" t="str">
        <f t="shared" si="1"/>
        <v>Didn't Name the Query a Smart Name (Different than Excel Table)</v>
      </c>
    </row>
    <row r="5" spans="1:11" x14ac:dyDescent="0.25">
      <c r="A5" s="31" t="s">
        <v>30</v>
      </c>
      <c r="B5" s="32">
        <v>5</v>
      </c>
      <c r="C5" s="32">
        <f t="shared" si="0"/>
        <v>5</v>
      </c>
      <c r="D5" s="31" t="str">
        <f t="shared" si="2"/>
        <v/>
      </c>
      <c r="K5" s="32" t="str">
        <f t="shared" si="1"/>
        <v>Didn't Make sure each Field has correct Data Type</v>
      </c>
    </row>
    <row r="6" spans="1:11" x14ac:dyDescent="0.25">
      <c r="A6" s="31" t="s">
        <v>27</v>
      </c>
      <c r="B6" s="32">
        <v>5</v>
      </c>
      <c r="C6" s="32">
        <f t="shared" si="0"/>
        <v>5</v>
      </c>
      <c r="D6" s="31" t="str">
        <f t="shared" si="2"/>
        <v/>
      </c>
      <c r="K6" s="32" t="str">
        <f t="shared" si="1"/>
        <v>Didn't Sort GPA Grade "Z to A" within Major ("A to Z")</v>
      </c>
    </row>
    <row r="7" spans="1:11" x14ac:dyDescent="0.25">
      <c r="A7" s="31" t="s">
        <v>31</v>
      </c>
      <c r="B7" s="32">
        <v>5</v>
      </c>
      <c r="C7" s="32">
        <f>B7</f>
        <v>5</v>
      </c>
      <c r="D7" s="31" t="str">
        <f t="shared" si="2"/>
        <v/>
      </c>
      <c r="K7" s="32" t="str">
        <f>"No "&amp;A7</f>
        <v>No Written Response</v>
      </c>
    </row>
    <row r="8" spans="1:11" x14ac:dyDescent="0.25">
      <c r="C8" s="33" t="str">
        <f>IF(C9="Late",-0.25*SUM(C1:C7),"")</f>
        <v/>
      </c>
      <c r="D8" s="33" t="str">
        <f>IF($C$9="Late","Late","")</f>
        <v/>
      </c>
      <c r="K8" s="32"/>
    </row>
    <row r="9" spans="1:11" x14ac:dyDescent="0.25">
      <c r="A9" s="34" t="s">
        <v>25</v>
      </c>
      <c r="B9" s="35">
        <f>SUM(B2:B7)</f>
        <v>30</v>
      </c>
      <c r="D9" s="33" t="str">
        <f>IF($C$9="Late","In accordance with the syllabus, late points are subtracted from score (25%).","")</f>
        <v/>
      </c>
      <c r="K9" s="32"/>
    </row>
    <row r="10" spans="1:11" x14ac:dyDescent="0.25">
      <c r="C10" s="35">
        <f>SUM(C2:C8)</f>
        <v>30</v>
      </c>
      <c r="K10" s="32"/>
    </row>
  </sheetData>
  <conditionalFormatting sqref="A2:D2 D3:D7">
    <cfRule type="expression" dxfId="3" priority="2">
      <formula>$B2&lt;&gt;$C2</formula>
    </cfRule>
  </conditionalFormatting>
  <conditionalFormatting sqref="A3:C7">
    <cfRule type="expression" dxfId="2" priority="1">
      <formula>$B3&lt;&gt;$C3</formula>
    </cfRule>
  </conditionalFormatting>
  <dataValidations count="1">
    <dataValidation type="list" allowBlank="1" showInputMessage="1" showErrorMessage="1" sqref="C9" xr:uid="{00000000-0002-0000-0000-000000000000}">
      <formula1>"Late"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E3848-EB74-488B-9660-D98FE2A742FB}">
  <dimension ref="A1:C31"/>
  <sheetViews>
    <sheetView workbookViewId="0">
      <selection activeCell="C21" sqref="C21"/>
    </sheetView>
  </sheetViews>
  <sheetFormatPr defaultRowHeight="15" x14ac:dyDescent="0.25"/>
  <cols>
    <col min="1" max="1" width="13.85546875" bestFit="1" customWidth="1"/>
    <col min="2" max="2" width="16.28515625" bestFit="1" customWidth="1"/>
    <col min="3" max="3" width="8.42578125" bestFit="1" customWidth="1"/>
  </cols>
  <sheetData>
    <row r="1" spans="1:3" x14ac:dyDescent="0.25">
      <c r="A1" t="s">
        <v>11</v>
      </c>
      <c r="B1" t="s">
        <v>33</v>
      </c>
      <c r="C1" t="s">
        <v>34</v>
      </c>
    </row>
    <row r="2" spans="1:3" x14ac:dyDescent="0.25">
      <c r="A2" s="39" t="s">
        <v>2</v>
      </c>
      <c r="B2" s="39" t="s">
        <v>8</v>
      </c>
      <c r="C2">
        <v>3.5</v>
      </c>
    </row>
    <row r="3" spans="1:3" x14ac:dyDescent="0.25">
      <c r="A3" s="39" t="s">
        <v>2</v>
      </c>
      <c r="B3" s="39" t="s">
        <v>10</v>
      </c>
      <c r="C3">
        <v>2.9</v>
      </c>
    </row>
    <row r="4" spans="1:3" x14ac:dyDescent="0.25">
      <c r="A4" s="39" t="s">
        <v>2</v>
      </c>
      <c r="B4" s="39" t="s">
        <v>7</v>
      </c>
      <c r="C4">
        <v>2.9</v>
      </c>
    </row>
    <row r="5" spans="1:3" x14ac:dyDescent="0.25">
      <c r="A5" s="39" t="s">
        <v>2</v>
      </c>
      <c r="B5" s="39" t="s">
        <v>9</v>
      </c>
      <c r="C5">
        <v>2.4</v>
      </c>
    </row>
    <row r="6" spans="1:3" x14ac:dyDescent="0.25">
      <c r="A6" s="39" t="s">
        <v>2</v>
      </c>
      <c r="B6" s="39" t="s">
        <v>6</v>
      </c>
      <c r="C6">
        <v>2.2000000000000002</v>
      </c>
    </row>
    <row r="7" spans="1:3" x14ac:dyDescent="0.25">
      <c r="A7" s="39" t="s">
        <v>3</v>
      </c>
      <c r="B7" s="39" t="s">
        <v>6</v>
      </c>
      <c r="C7">
        <v>3.6</v>
      </c>
    </row>
    <row r="8" spans="1:3" x14ac:dyDescent="0.25">
      <c r="A8" s="39" t="s">
        <v>3</v>
      </c>
      <c r="B8" s="39" t="s">
        <v>8</v>
      </c>
      <c r="C8">
        <v>3</v>
      </c>
    </row>
    <row r="9" spans="1:3" x14ac:dyDescent="0.25">
      <c r="A9" s="39" t="s">
        <v>3</v>
      </c>
      <c r="B9" s="39" t="s">
        <v>9</v>
      </c>
      <c r="C9">
        <v>2.7</v>
      </c>
    </row>
    <row r="10" spans="1:3" x14ac:dyDescent="0.25">
      <c r="A10" s="39" t="s">
        <v>3</v>
      </c>
      <c r="B10" s="39" t="s">
        <v>10</v>
      </c>
      <c r="C10">
        <v>2.4</v>
      </c>
    </row>
    <row r="11" spans="1:3" x14ac:dyDescent="0.25">
      <c r="A11" s="39" t="s">
        <v>3</v>
      </c>
      <c r="B11" s="39" t="s">
        <v>7</v>
      </c>
      <c r="C11">
        <v>2.4</v>
      </c>
    </row>
    <row r="12" spans="1:3" x14ac:dyDescent="0.25">
      <c r="A12" s="39" t="s">
        <v>5</v>
      </c>
      <c r="B12" s="39" t="s">
        <v>10</v>
      </c>
      <c r="C12">
        <v>4</v>
      </c>
    </row>
    <row r="13" spans="1:3" x14ac:dyDescent="0.25">
      <c r="A13" s="39" t="s">
        <v>5</v>
      </c>
      <c r="B13" s="39" t="s">
        <v>6</v>
      </c>
      <c r="C13">
        <v>3.9</v>
      </c>
    </row>
    <row r="14" spans="1:3" x14ac:dyDescent="0.25">
      <c r="A14" s="39" t="s">
        <v>5</v>
      </c>
      <c r="B14" s="39" t="s">
        <v>9</v>
      </c>
      <c r="C14">
        <v>3.6</v>
      </c>
    </row>
    <row r="15" spans="1:3" x14ac:dyDescent="0.25">
      <c r="A15" s="39" t="s">
        <v>5</v>
      </c>
      <c r="B15" s="39" t="s">
        <v>8</v>
      </c>
      <c r="C15">
        <v>3.1</v>
      </c>
    </row>
    <row r="16" spans="1:3" x14ac:dyDescent="0.25">
      <c r="A16" s="39" t="s">
        <v>5</v>
      </c>
      <c r="B16" s="39" t="s">
        <v>7</v>
      </c>
      <c r="C16">
        <v>3.1</v>
      </c>
    </row>
    <row r="17" spans="1:3" x14ac:dyDescent="0.25">
      <c r="A17" s="39" t="s">
        <v>4</v>
      </c>
      <c r="B17" s="39" t="s">
        <v>9</v>
      </c>
      <c r="C17">
        <v>3.2</v>
      </c>
    </row>
    <row r="18" spans="1:3" x14ac:dyDescent="0.25">
      <c r="A18" s="39" t="s">
        <v>4</v>
      </c>
      <c r="B18" s="39" t="s">
        <v>6</v>
      </c>
      <c r="C18">
        <v>3.1</v>
      </c>
    </row>
    <row r="19" spans="1:3" x14ac:dyDescent="0.25">
      <c r="A19" s="39" t="s">
        <v>4</v>
      </c>
      <c r="B19" s="39" t="s">
        <v>10</v>
      </c>
      <c r="C19">
        <v>2.9</v>
      </c>
    </row>
    <row r="20" spans="1:3" x14ac:dyDescent="0.25">
      <c r="A20" s="39" t="s">
        <v>4</v>
      </c>
      <c r="B20" s="39" t="s">
        <v>7</v>
      </c>
      <c r="C20">
        <v>2.7</v>
      </c>
    </row>
    <row r="21" spans="1:3" x14ac:dyDescent="0.25">
      <c r="A21" s="39" t="s">
        <v>4</v>
      </c>
      <c r="B21" s="39" t="s">
        <v>8</v>
      </c>
      <c r="C21">
        <v>2.2999999999999998</v>
      </c>
    </row>
    <row r="22" spans="1:3" x14ac:dyDescent="0.25">
      <c r="A22" s="39" t="s">
        <v>1</v>
      </c>
      <c r="B22" s="39" t="s">
        <v>10</v>
      </c>
      <c r="C22">
        <v>3.1</v>
      </c>
    </row>
    <row r="23" spans="1:3" x14ac:dyDescent="0.25">
      <c r="A23" s="39" t="s">
        <v>1</v>
      </c>
      <c r="B23" s="39" t="s">
        <v>8</v>
      </c>
      <c r="C23">
        <v>3</v>
      </c>
    </row>
    <row r="24" spans="1:3" x14ac:dyDescent="0.25">
      <c r="A24" s="39" t="s">
        <v>1</v>
      </c>
      <c r="B24" s="39" t="s">
        <v>6</v>
      </c>
      <c r="C24">
        <v>3</v>
      </c>
    </row>
    <row r="25" spans="1:3" x14ac:dyDescent="0.25">
      <c r="A25" s="39" t="s">
        <v>1</v>
      </c>
      <c r="B25" s="39" t="s">
        <v>9</v>
      </c>
      <c r="C25">
        <v>2.8</v>
      </c>
    </row>
    <row r="26" spans="1:3" x14ac:dyDescent="0.25">
      <c r="A26" s="39" t="s">
        <v>1</v>
      </c>
      <c r="B26" s="39" t="s">
        <v>7</v>
      </c>
      <c r="C26">
        <v>2.1</v>
      </c>
    </row>
    <row r="27" spans="1:3" x14ac:dyDescent="0.25">
      <c r="A27" s="39" t="s">
        <v>0</v>
      </c>
      <c r="B27" s="39" t="s">
        <v>7</v>
      </c>
      <c r="C27">
        <v>3.2</v>
      </c>
    </row>
    <row r="28" spans="1:3" x14ac:dyDescent="0.25">
      <c r="A28" s="39" t="s">
        <v>0</v>
      </c>
      <c r="B28" s="39" t="s">
        <v>6</v>
      </c>
      <c r="C28">
        <v>3.2</v>
      </c>
    </row>
    <row r="29" spans="1:3" x14ac:dyDescent="0.25">
      <c r="A29" s="39" t="s">
        <v>0</v>
      </c>
      <c r="B29" s="39" t="s">
        <v>8</v>
      </c>
      <c r="C29">
        <v>2.9</v>
      </c>
    </row>
    <row r="30" spans="1:3" x14ac:dyDescent="0.25">
      <c r="A30" s="39" t="s">
        <v>0</v>
      </c>
      <c r="B30" s="39" t="s">
        <v>9</v>
      </c>
      <c r="C30">
        <v>2.8</v>
      </c>
    </row>
    <row r="31" spans="1:3" x14ac:dyDescent="0.25">
      <c r="A31" s="39" t="s">
        <v>0</v>
      </c>
      <c r="B31" s="39" t="s">
        <v>10</v>
      </c>
      <c r="C31">
        <v>2.7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00FF"/>
  </sheetPr>
  <dimension ref="A1:H17"/>
  <sheetViews>
    <sheetView tabSelected="1" zoomScale="115" zoomScaleNormal="115" workbookViewId="0">
      <selection activeCell="B3" sqref="B3:H3"/>
    </sheetView>
  </sheetViews>
  <sheetFormatPr defaultRowHeight="15" x14ac:dyDescent="0.25"/>
  <cols>
    <col min="2" max="2" width="14.42578125" customWidth="1"/>
    <col min="3" max="5" width="17" customWidth="1"/>
    <col min="6" max="6" width="18" customWidth="1"/>
    <col min="7" max="7" width="18.28515625" customWidth="1"/>
  </cols>
  <sheetData>
    <row r="1" spans="1:8" ht="45" x14ac:dyDescent="0.25">
      <c r="A1" s="4" t="s">
        <v>32</v>
      </c>
      <c r="B1" s="3"/>
      <c r="C1" s="3"/>
      <c r="D1" s="3"/>
      <c r="E1" s="3"/>
      <c r="F1" s="3"/>
      <c r="G1" s="3"/>
      <c r="H1" s="2"/>
    </row>
    <row r="3" spans="1:8" ht="50.25" customHeight="1" x14ac:dyDescent="0.25">
      <c r="B3" s="36"/>
      <c r="C3" s="37"/>
      <c r="D3" s="37"/>
      <c r="E3" s="37"/>
      <c r="F3" s="37"/>
      <c r="G3" s="37"/>
      <c r="H3" s="38"/>
    </row>
    <row r="9" spans="1:8" x14ac:dyDescent="0.25">
      <c r="B9" s="1" t="s">
        <v>12</v>
      </c>
    </row>
    <row r="11" spans="1:8" x14ac:dyDescent="0.25">
      <c r="B11" s="1" t="s">
        <v>11</v>
      </c>
      <c r="C11" t="s">
        <v>10</v>
      </c>
      <c r="D11" t="s">
        <v>9</v>
      </c>
      <c r="E11" t="s">
        <v>8</v>
      </c>
      <c r="F11" t="s">
        <v>7</v>
      </c>
      <c r="G11" t="s">
        <v>6</v>
      </c>
    </row>
    <row r="12" spans="1:8" x14ac:dyDescent="0.25">
      <c r="B12" t="s">
        <v>5</v>
      </c>
      <c r="C12">
        <v>4</v>
      </c>
      <c r="D12">
        <v>3.6</v>
      </c>
      <c r="E12">
        <v>3.1</v>
      </c>
      <c r="F12">
        <v>3.1</v>
      </c>
      <c r="G12">
        <v>3.9</v>
      </c>
    </row>
    <row r="13" spans="1:8" x14ac:dyDescent="0.25">
      <c r="B13" t="s">
        <v>4</v>
      </c>
      <c r="C13">
        <v>2.9</v>
      </c>
      <c r="D13">
        <v>3.2</v>
      </c>
      <c r="E13">
        <v>2.2999999999999998</v>
      </c>
      <c r="F13">
        <v>2.7</v>
      </c>
      <c r="G13">
        <v>3.1</v>
      </c>
    </row>
    <row r="14" spans="1:8" x14ac:dyDescent="0.25">
      <c r="B14" t="s">
        <v>3</v>
      </c>
      <c r="C14">
        <v>2.4</v>
      </c>
      <c r="D14">
        <v>2.7</v>
      </c>
      <c r="E14">
        <v>3</v>
      </c>
      <c r="F14">
        <v>2.4</v>
      </c>
      <c r="G14">
        <v>3.6</v>
      </c>
    </row>
    <row r="15" spans="1:8" x14ac:dyDescent="0.25">
      <c r="B15" t="s">
        <v>2</v>
      </c>
      <c r="C15">
        <v>2.9</v>
      </c>
      <c r="D15">
        <v>2.4</v>
      </c>
      <c r="E15">
        <v>3.5</v>
      </c>
      <c r="F15">
        <v>2.9</v>
      </c>
      <c r="G15">
        <v>2.2000000000000002</v>
      </c>
    </row>
    <row r="16" spans="1:8" x14ac:dyDescent="0.25">
      <c r="B16" t="s">
        <v>1</v>
      </c>
      <c r="C16">
        <v>3.1</v>
      </c>
      <c r="D16">
        <v>2.8</v>
      </c>
      <c r="E16">
        <v>3</v>
      </c>
      <c r="F16">
        <v>2.1</v>
      </c>
      <c r="G16">
        <v>3</v>
      </c>
    </row>
    <row r="17" spans="2:7" x14ac:dyDescent="0.25">
      <c r="B17" t="s">
        <v>0</v>
      </c>
      <c r="C17">
        <v>2.7</v>
      </c>
      <c r="D17">
        <v>2.8</v>
      </c>
      <c r="E17">
        <v>2.9</v>
      </c>
      <c r="F17">
        <v>3.2</v>
      </c>
      <c r="G17">
        <v>3.2</v>
      </c>
    </row>
  </sheetData>
  <mergeCells count="1">
    <mergeCell ref="B3:H3"/>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L41"/>
  <sheetViews>
    <sheetView workbookViewId="0">
      <selection sqref="A1:H1"/>
    </sheetView>
  </sheetViews>
  <sheetFormatPr defaultRowHeight="15" x14ac:dyDescent="0.25"/>
  <cols>
    <col min="2" max="2" width="14.42578125" customWidth="1"/>
    <col min="3" max="5" width="17" customWidth="1"/>
    <col min="6" max="6" width="18" customWidth="1"/>
    <col min="7" max="7" width="18.28515625" customWidth="1"/>
    <col min="10" max="10" width="8.7109375" customWidth="1"/>
    <col min="11" max="11" width="16.28515625" bestFit="1" customWidth="1"/>
    <col min="12" max="12" width="7.140625" customWidth="1"/>
  </cols>
  <sheetData>
    <row r="1" spans="1:12" ht="30" x14ac:dyDescent="0.25">
      <c r="A1" s="4" t="s">
        <v>13</v>
      </c>
      <c r="B1" s="3"/>
      <c r="C1" s="3"/>
      <c r="D1" s="3"/>
      <c r="E1" s="3"/>
      <c r="F1" s="3"/>
      <c r="G1" s="3"/>
      <c r="H1" s="2"/>
    </row>
    <row r="3" spans="1:12" ht="48" customHeight="1" x14ac:dyDescent="0.25">
      <c r="B3" s="36" t="s">
        <v>20</v>
      </c>
      <c r="C3" s="37"/>
      <c r="D3" s="37"/>
      <c r="E3" s="37"/>
      <c r="F3" s="37"/>
      <c r="G3" s="37"/>
      <c r="H3" s="38"/>
      <c r="K3" s="29" t="s">
        <v>19</v>
      </c>
    </row>
    <row r="4" spans="1:12" x14ac:dyDescent="0.25">
      <c r="K4" s="29" t="s">
        <v>18</v>
      </c>
    </row>
    <row r="5" spans="1:12" x14ac:dyDescent="0.25">
      <c r="K5" s="29" t="s">
        <v>17</v>
      </c>
    </row>
    <row r="9" spans="1:12" x14ac:dyDescent="0.25">
      <c r="B9" s="1" t="s">
        <v>12</v>
      </c>
    </row>
    <row r="11" spans="1:12" x14ac:dyDescent="0.25">
      <c r="B11" s="28" t="s">
        <v>11</v>
      </c>
      <c r="C11" s="27" t="s">
        <v>10</v>
      </c>
      <c r="D11" s="27" t="s">
        <v>9</v>
      </c>
      <c r="E11" s="27" t="s">
        <v>8</v>
      </c>
      <c r="F11" s="27" t="s">
        <v>7</v>
      </c>
      <c r="G11" s="26" t="s">
        <v>6</v>
      </c>
      <c r="J11" s="25" t="s">
        <v>16</v>
      </c>
      <c r="K11" s="24" t="s">
        <v>15</v>
      </c>
      <c r="L11" s="23" t="s">
        <v>14</v>
      </c>
    </row>
    <row r="12" spans="1:12" x14ac:dyDescent="0.25">
      <c r="B12" s="19" t="s">
        <v>5</v>
      </c>
      <c r="C12" s="18">
        <v>4</v>
      </c>
      <c r="D12" s="18">
        <v>3.6</v>
      </c>
      <c r="E12" s="18">
        <v>3.1</v>
      </c>
      <c r="F12" s="18">
        <v>3.1</v>
      </c>
      <c r="G12" s="17">
        <v>3.9</v>
      </c>
      <c r="J12" s="10" t="s">
        <v>5</v>
      </c>
      <c r="K12" s="9" t="s">
        <v>10</v>
      </c>
      <c r="L12" s="8">
        <v>4</v>
      </c>
    </row>
    <row r="13" spans="1:12" x14ac:dyDescent="0.25">
      <c r="B13" s="22" t="s">
        <v>4</v>
      </c>
      <c r="C13" s="21">
        <v>2.9</v>
      </c>
      <c r="D13" s="21">
        <v>3.2</v>
      </c>
      <c r="E13" s="21">
        <v>2.2999999999999998</v>
      </c>
      <c r="F13" s="21">
        <v>2.7</v>
      </c>
      <c r="G13" s="20">
        <v>3.1</v>
      </c>
      <c r="J13" s="13" t="s">
        <v>1</v>
      </c>
      <c r="K13" s="12" t="s">
        <v>10</v>
      </c>
      <c r="L13" s="11">
        <v>3.1</v>
      </c>
    </row>
    <row r="14" spans="1:12" x14ac:dyDescent="0.25">
      <c r="B14" s="19" t="s">
        <v>3</v>
      </c>
      <c r="C14" s="18">
        <v>2.4</v>
      </c>
      <c r="D14" s="18">
        <v>2.7</v>
      </c>
      <c r="E14" s="18">
        <v>3</v>
      </c>
      <c r="F14" s="18">
        <v>2.4</v>
      </c>
      <c r="G14" s="17">
        <v>3.6</v>
      </c>
      <c r="J14" s="10" t="s">
        <v>4</v>
      </c>
      <c r="K14" s="9" t="s">
        <v>10</v>
      </c>
      <c r="L14" s="8">
        <v>2.9</v>
      </c>
    </row>
    <row r="15" spans="1:12" x14ac:dyDescent="0.25">
      <c r="B15" s="22" t="s">
        <v>2</v>
      </c>
      <c r="C15" s="21">
        <v>2.9</v>
      </c>
      <c r="D15" s="21">
        <v>2.4</v>
      </c>
      <c r="E15" s="21">
        <v>3.5</v>
      </c>
      <c r="F15" s="21">
        <v>2.9</v>
      </c>
      <c r="G15" s="20">
        <v>2.2000000000000002</v>
      </c>
      <c r="J15" s="13" t="s">
        <v>2</v>
      </c>
      <c r="K15" s="12" t="s">
        <v>10</v>
      </c>
      <c r="L15" s="11">
        <v>2.9</v>
      </c>
    </row>
    <row r="16" spans="1:12" x14ac:dyDescent="0.25">
      <c r="B16" s="19" t="s">
        <v>1</v>
      </c>
      <c r="C16" s="18">
        <v>3.1</v>
      </c>
      <c r="D16" s="18">
        <v>2.8</v>
      </c>
      <c r="E16" s="18">
        <v>3</v>
      </c>
      <c r="F16" s="18">
        <v>2.1</v>
      </c>
      <c r="G16" s="17">
        <v>3</v>
      </c>
      <c r="J16" s="10" t="s">
        <v>0</v>
      </c>
      <c r="K16" s="9" t="s">
        <v>10</v>
      </c>
      <c r="L16" s="8">
        <v>2.7</v>
      </c>
    </row>
    <row r="17" spans="2:12" x14ac:dyDescent="0.25">
      <c r="B17" s="16" t="s">
        <v>0</v>
      </c>
      <c r="C17" s="15">
        <v>2.7</v>
      </c>
      <c r="D17" s="15">
        <v>2.8</v>
      </c>
      <c r="E17" s="15">
        <v>2.9</v>
      </c>
      <c r="F17" s="15">
        <v>3.2</v>
      </c>
      <c r="G17" s="14">
        <v>3.2</v>
      </c>
      <c r="J17" s="13" t="s">
        <v>3</v>
      </c>
      <c r="K17" s="12" t="s">
        <v>10</v>
      </c>
      <c r="L17" s="11">
        <v>2.4</v>
      </c>
    </row>
    <row r="18" spans="2:12" x14ac:dyDescent="0.25">
      <c r="J18" s="10" t="s">
        <v>5</v>
      </c>
      <c r="K18" s="9" t="s">
        <v>9</v>
      </c>
      <c r="L18" s="8">
        <v>3.6</v>
      </c>
    </row>
    <row r="19" spans="2:12" x14ac:dyDescent="0.25">
      <c r="J19" s="13" t="s">
        <v>4</v>
      </c>
      <c r="K19" s="12" t="s">
        <v>9</v>
      </c>
      <c r="L19" s="11">
        <v>3.2</v>
      </c>
    </row>
    <row r="20" spans="2:12" x14ac:dyDescent="0.25">
      <c r="J20" s="10" t="s">
        <v>1</v>
      </c>
      <c r="K20" s="9" t="s">
        <v>9</v>
      </c>
      <c r="L20" s="8">
        <v>2.8</v>
      </c>
    </row>
    <row r="21" spans="2:12" x14ac:dyDescent="0.25">
      <c r="J21" s="13" t="s">
        <v>0</v>
      </c>
      <c r="K21" s="12" t="s">
        <v>9</v>
      </c>
      <c r="L21" s="11">
        <v>2.8</v>
      </c>
    </row>
    <row r="22" spans="2:12" x14ac:dyDescent="0.25">
      <c r="J22" s="10" t="s">
        <v>3</v>
      </c>
      <c r="K22" s="9" t="s">
        <v>9</v>
      </c>
      <c r="L22" s="8">
        <v>2.7</v>
      </c>
    </row>
    <row r="23" spans="2:12" x14ac:dyDescent="0.25">
      <c r="J23" s="13" t="s">
        <v>2</v>
      </c>
      <c r="K23" s="12" t="s">
        <v>9</v>
      </c>
      <c r="L23" s="11">
        <v>2.4</v>
      </c>
    </row>
    <row r="24" spans="2:12" x14ac:dyDescent="0.25">
      <c r="J24" s="10" t="s">
        <v>5</v>
      </c>
      <c r="K24" s="9" t="s">
        <v>6</v>
      </c>
      <c r="L24" s="8">
        <v>3.9</v>
      </c>
    </row>
    <row r="25" spans="2:12" x14ac:dyDescent="0.25">
      <c r="J25" s="13" t="s">
        <v>3</v>
      </c>
      <c r="K25" s="12" t="s">
        <v>6</v>
      </c>
      <c r="L25" s="11">
        <v>3.6</v>
      </c>
    </row>
    <row r="26" spans="2:12" x14ac:dyDescent="0.25">
      <c r="J26" s="10" t="s">
        <v>0</v>
      </c>
      <c r="K26" s="9" t="s">
        <v>6</v>
      </c>
      <c r="L26" s="8">
        <v>3.2</v>
      </c>
    </row>
    <row r="27" spans="2:12" x14ac:dyDescent="0.25">
      <c r="J27" s="13" t="s">
        <v>4</v>
      </c>
      <c r="K27" s="12" t="s">
        <v>6</v>
      </c>
      <c r="L27" s="11">
        <v>3.1</v>
      </c>
    </row>
    <row r="28" spans="2:12" x14ac:dyDescent="0.25">
      <c r="J28" s="10" t="s">
        <v>1</v>
      </c>
      <c r="K28" s="9" t="s">
        <v>6</v>
      </c>
      <c r="L28" s="8">
        <v>3</v>
      </c>
    </row>
    <row r="29" spans="2:12" x14ac:dyDescent="0.25">
      <c r="J29" s="13" t="s">
        <v>2</v>
      </c>
      <c r="K29" s="12" t="s">
        <v>6</v>
      </c>
      <c r="L29" s="11">
        <v>2.2000000000000002</v>
      </c>
    </row>
    <row r="30" spans="2:12" x14ac:dyDescent="0.25">
      <c r="J30" s="10" t="s">
        <v>2</v>
      </c>
      <c r="K30" s="9" t="s">
        <v>8</v>
      </c>
      <c r="L30" s="8">
        <v>3.5</v>
      </c>
    </row>
    <row r="31" spans="2:12" x14ac:dyDescent="0.25">
      <c r="J31" s="13" t="s">
        <v>5</v>
      </c>
      <c r="K31" s="12" t="s">
        <v>8</v>
      </c>
      <c r="L31" s="11">
        <v>3.1</v>
      </c>
    </row>
    <row r="32" spans="2:12" x14ac:dyDescent="0.25">
      <c r="J32" s="10" t="s">
        <v>3</v>
      </c>
      <c r="K32" s="9" t="s">
        <v>8</v>
      </c>
      <c r="L32" s="8">
        <v>3</v>
      </c>
    </row>
    <row r="33" spans="10:12" x14ac:dyDescent="0.25">
      <c r="J33" s="13" t="s">
        <v>1</v>
      </c>
      <c r="K33" s="12" t="s">
        <v>8</v>
      </c>
      <c r="L33" s="11">
        <v>3</v>
      </c>
    </row>
    <row r="34" spans="10:12" x14ac:dyDescent="0.25">
      <c r="J34" s="10" t="s">
        <v>0</v>
      </c>
      <c r="K34" s="9" t="s">
        <v>8</v>
      </c>
      <c r="L34" s="8">
        <v>2.9</v>
      </c>
    </row>
    <row r="35" spans="10:12" x14ac:dyDescent="0.25">
      <c r="J35" s="13" t="s">
        <v>4</v>
      </c>
      <c r="K35" s="12" t="s">
        <v>8</v>
      </c>
      <c r="L35" s="11">
        <v>2.2999999999999998</v>
      </c>
    </row>
    <row r="36" spans="10:12" x14ac:dyDescent="0.25">
      <c r="J36" s="10" t="s">
        <v>0</v>
      </c>
      <c r="K36" s="9" t="s">
        <v>7</v>
      </c>
      <c r="L36" s="8">
        <v>3.2</v>
      </c>
    </row>
    <row r="37" spans="10:12" x14ac:dyDescent="0.25">
      <c r="J37" s="13" t="s">
        <v>5</v>
      </c>
      <c r="K37" s="12" t="s">
        <v>7</v>
      </c>
      <c r="L37" s="11">
        <v>3.1</v>
      </c>
    </row>
    <row r="38" spans="10:12" x14ac:dyDescent="0.25">
      <c r="J38" s="10" t="s">
        <v>2</v>
      </c>
      <c r="K38" s="9" t="s">
        <v>7</v>
      </c>
      <c r="L38" s="8">
        <v>2.9</v>
      </c>
    </row>
    <row r="39" spans="10:12" x14ac:dyDescent="0.25">
      <c r="J39" s="13" t="s">
        <v>4</v>
      </c>
      <c r="K39" s="12" t="s">
        <v>7</v>
      </c>
      <c r="L39" s="11">
        <v>2.7</v>
      </c>
    </row>
    <row r="40" spans="10:12" x14ac:dyDescent="0.25">
      <c r="J40" s="10" t="s">
        <v>3</v>
      </c>
      <c r="K40" s="9" t="s">
        <v>7</v>
      </c>
      <c r="L40" s="8">
        <v>2.4</v>
      </c>
    </row>
    <row r="41" spans="10:12" x14ac:dyDescent="0.25">
      <c r="J41" s="7" t="s">
        <v>1</v>
      </c>
      <c r="K41" s="6" t="s">
        <v>7</v>
      </c>
      <c r="L41" s="5">
        <v>2.1</v>
      </c>
    </row>
  </sheetData>
  <mergeCells count="1">
    <mergeCell ref="B3:H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65F717-BBC6-43A1-ABF1-B8C4E267DC7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GPA_PV</vt:lpstr>
      <vt:lpstr>Project(2)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Ngoc Dinh</cp:lastModifiedBy>
  <dcterms:created xsi:type="dcterms:W3CDTF">2016-04-17T18:06:17Z</dcterms:created>
  <dcterms:modified xsi:type="dcterms:W3CDTF">2018-09-19T15:32:02Z</dcterms:modified>
</cp:coreProperties>
</file>