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ht\Downloads\"/>
    </mc:Choice>
  </mc:AlternateContent>
  <xr:revisionPtr revIDLastSave="0" documentId="13_ncr:1_{06C038FD-F247-4047-8C37-2B31BBE2AE33}" xr6:coauthVersionLast="37" xr6:coauthVersionMax="37" xr10:uidLastSave="{00000000-0000-0000-0000-000000000000}"/>
  <bookViews>
    <workbookView xWindow="0" yWindow="0" windowWidth="24000" windowHeight="8685" firstSheet="1" activeTab="2" xr2:uid="{00000000-000D-0000-FFFF-FFFF00000000}"/>
  </bookViews>
  <sheets>
    <sheet name="Score" sheetId="3" state="veryHidden" r:id="rId1"/>
    <sheet name="(1)" sheetId="1" r:id="rId2"/>
    <sheet name="(2)" sheetId="2" r:id="rId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C13" i="1"/>
  <c r="D13" i="1"/>
  <c r="E13" i="1"/>
  <c r="F13" i="1"/>
  <c r="G13" i="1"/>
  <c r="H13" i="1"/>
  <c r="I13" i="1"/>
  <c r="J13" i="1"/>
  <c r="K13" i="1"/>
  <c r="L13" i="1"/>
  <c r="B14" i="1"/>
  <c r="C14" i="1"/>
  <c r="D14" i="1"/>
  <c r="E14" i="1"/>
  <c r="F14" i="1"/>
  <c r="G14" i="1"/>
  <c r="H14" i="1"/>
  <c r="I14" i="1"/>
  <c r="J14" i="1"/>
  <c r="K14" i="1"/>
  <c r="L14" i="1"/>
  <c r="B15" i="1"/>
  <c r="C15" i="1"/>
  <c r="D15" i="1"/>
  <c r="E15" i="1"/>
  <c r="F15" i="1"/>
  <c r="G15" i="1"/>
  <c r="H15" i="1"/>
  <c r="I15" i="1"/>
  <c r="J15" i="1"/>
  <c r="K15" i="1"/>
  <c r="L15" i="1"/>
  <c r="B16" i="1"/>
  <c r="C16" i="1"/>
  <c r="D16" i="1"/>
  <c r="E16" i="1"/>
  <c r="F16" i="1"/>
  <c r="G16" i="1"/>
  <c r="H16" i="1"/>
  <c r="I16" i="1"/>
  <c r="J16" i="1"/>
  <c r="K16" i="1"/>
  <c r="L16" i="1"/>
  <c r="B17" i="1"/>
  <c r="C17" i="1"/>
  <c r="D17" i="1"/>
  <c r="E17" i="1"/>
  <c r="F17" i="1"/>
  <c r="G17" i="1"/>
  <c r="H17" i="1"/>
  <c r="I17" i="1"/>
  <c r="J17" i="1"/>
  <c r="K17" i="1"/>
  <c r="L17" i="1"/>
  <c r="B18" i="1"/>
  <c r="C18" i="1"/>
  <c r="D18" i="1"/>
  <c r="E18" i="1"/>
  <c r="F18" i="1"/>
  <c r="G18" i="1"/>
  <c r="H18" i="1"/>
  <c r="I18" i="1"/>
  <c r="J18" i="1"/>
  <c r="K18" i="1"/>
  <c r="L18" i="1"/>
  <c r="B19" i="1"/>
  <c r="C19" i="1"/>
  <c r="D19" i="1"/>
  <c r="E19" i="1"/>
  <c r="F19" i="1"/>
  <c r="G19" i="1"/>
  <c r="H19" i="1"/>
  <c r="I19" i="1"/>
  <c r="J19" i="1"/>
  <c r="K19" i="1"/>
  <c r="L19" i="1"/>
  <c r="B20" i="1"/>
  <c r="C20" i="1"/>
  <c r="D20" i="1"/>
  <c r="E20" i="1"/>
  <c r="F20" i="1"/>
  <c r="G20" i="1"/>
  <c r="H20" i="1"/>
  <c r="I20" i="1"/>
  <c r="J20" i="1"/>
  <c r="K20" i="1"/>
  <c r="L20" i="1"/>
  <c r="B21" i="1"/>
  <c r="C21" i="1"/>
  <c r="D21" i="1"/>
  <c r="E21" i="1"/>
  <c r="F21" i="1"/>
  <c r="G21" i="1"/>
  <c r="H21" i="1"/>
  <c r="I21" i="1"/>
  <c r="J21" i="1"/>
  <c r="K21" i="1"/>
  <c r="L21" i="1"/>
  <c r="C12" i="1"/>
  <c r="D12" i="1"/>
  <c r="E12" i="1"/>
  <c r="F12" i="1"/>
  <c r="G12" i="1"/>
  <c r="H12" i="1"/>
  <c r="I12" i="1"/>
  <c r="J12" i="1"/>
  <c r="K12" i="1"/>
  <c r="L12" i="1"/>
  <c r="B12" i="1"/>
  <c r="A14" i="1"/>
  <c r="A15" i="1" s="1"/>
  <c r="A16" i="1" s="1"/>
  <c r="A17" i="1" s="1"/>
  <c r="A18" i="1" s="1"/>
  <c r="A19" i="1" s="1"/>
  <c r="A20" i="1" s="1"/>
  <c r="A21" i="1" s="1"/>
  <c r="D11" i="1"/>
  <c r="E11" i="1" s="1"/>
  <c r="F11" i="1" s="1"/>
  <c r="G11" i="1" s="1"/>
  <c r="H11" i="1" s="1"/>
  <c r="I11" i="1" s="1"/>
  <c r="J11" i="1" s="1"/>
  <c r="K11" i="1" s="1"/>
  <c r="L11" i="1" s="1"/>
  <c r="A13" i="1"/>
  <c r="A12" i="1"/>
  <c r="C11" i="1"/>
  <c r="B11" i="1"/>
  <c r="D13" i="3" l="1"/>
  <c r="B13" i="3"/>
  <c r="D12" i="3"/>
  <c r="C12" i="3"/>
  <c r="C11" i="3"/>
  <c r="D11" i="3" s="1"/>
  <c r="C10" i="3"/>
  <c r="D10" i="3" s="1"/>
  <c r="C9" i="3"/>
  <c r="D9" i="3" s="1"/>
  <c r="D8" i="3"/>
  <c r="C8" i="3"/>
  <c r="C7" i="3"/>
  <c r="D7" i="3" s="1"/>
  <c r="C6" i="3"/>
  <c r="D6" i="3" s="1"/>
  <c r="C5" i="3"/>
  <c r="D5" i="3" s="1"/>
  <c r="C4" i="3"/>
  <c r="D4" i="3" s="1"/>
  <c r="C3" i="3"/>
  <c r="D3" i="3" s="1"/>
  <c r="C2" i="3"/>
  <c r="C14" i="3" l="1"/>
  <c r="D2" i="3"/>
</calcChain>
</file>

<file path=xl/sharedStrings.xml><?xml version="1.0" encoding="utf-8"?>
<sst xmlns="http://schemas.openxmlformats.org/spreadsheetml/2006/main" count="64" uniqueCount="28">
  <si>
    <t>Picture ==&gt;&gt;</t>
  </si>
  <si>
    <t>1) Download the zipped folder "TextFiles".</t>
  </si>
  <si>
    <t>2) Unzip "TextFiles" folder.</t>
  </si>
  <si>
    <t>3) Use Power Query (Get &amp; Transform group in Data Ribbon Tab) to import all the text files in the "TextFiles" folder into the Power Pivot Data Model as a single Table.</t>
  </si>
  <si>
    <t>4) Create the PivotTable Report as seen in the picture to the right ==&gt;&gt;</t>
  </si>
  <si>
    <t>Graded Element</t>
  </si>
  <si>
    <t>Possible Points</t>
  </si>
  <si>
    <t>Your Points</t>
  </si>
  <si>
    <t>Comments</t>
  </si>
  <si>
    <t>Create Table for Future Value Calculations</t>
  </si>
  <si>
    <t>Use Mixed and Absolute Cell References like: =FV(B$11,$A12,-$B$5)</t>
  </si>
  <si>
    <t>Have Deposit as Negative Cash Flow</t>
  </si>
  <si>
    <t>In PQ:Filter out the extra Field Names by using the Products Field to filter out the word “Product”.</t>
  </si>
  <si>
    <t>In PQ:Highlight Web Site, Product and Quantity Fields and then right-click and click “Remove Other Columns” (the only Fields to import are Web Site, Product and Quantity).</t>
  </si>
  <si>
    <t>In PQ:  Be sure to check the Data Types in each Field.</t>
  </si>
  <si>
    <t>In PQ: Use the Close and Load To option and then select “Only Create Connection” and “Add this data to the Data Model”.</t>
  </si>
  <si>
    <t>Create Cross Tab PivotTAble</t>
  </si>
  <si>
    <t>Add Format: Report Layout Tabular</t>
  </si>
  <si>
    <t>Add Number Format</t>
  </si>
  <si>
    <t>Total Possible:</t>
  </si>
  <si>
    <t>Use your picture to the right as your guide to build a Future Value schedule for an annual Bank CD deposit of $2500 made at the end of each year  for various Annual Rates and Number of Total Years.</t>
  </si>
  <si>
    <t>Start Year</t>
  </si>
  <si>
    <t>Start Rate</t>
  </si>
  <si>
    <t>Increment Annual Rate</t>
  </si>
  <si>
    <t>Increment Year</t>
  </si>
  <si>
    <t>Number Years/
Annual Rate</t>
  </si>
  <si>
    <t>Future Value Schedule</t>
  </si>
  <si>
    <t>Annual Deposit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</si>
</sst>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2">
    <xf numFmtId="0" fontId="0" fillId="0" borderId="0"/>
    <xf numFmtId="0" fontId="2" fillId="6" borderId="0" applyNumberFormat="0" applyBorder="0" applyAlignment="0" applyProtection="0"/>
  </cellStyleXfs>
  <cellXfs count="33">
    <xf numFmtId="0" fontId="0" fillId="0" borderId="0" xfId="0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2" xfId="0" applyFill="1" applyBorder="1"/>
    <xf numFmtId="0" fontId="0" fillId="3" borderId="3" xfId="0" applyFill="1" applyBorder="1" applyAlignment="1">
      <alignment horizontal="left"/>
    </xf>
    <xf numFmtId="0" fontId="2" fillId="4" borderId="4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4" xfId="0" applyBorder="1"/>
    <xf numFmtId="0" fontId="3" fillId="0" borderId="0" xfId="0" applyFont="1"/>
    <xf numFmtId="0" fontId="1" fillId="0" borderId="0" xfId="0" applyFont="1" applyAlignment="1">
      <alignment horizontal="right"/>
    </xf>
    <xf numFmtId="0" fontId="0" fillId="5" borderId="4" xfId="0" applyFill="1" applyBorder="1"/>
    <xf numFmtId="0" fontId="4" fillId="2" borderId="1" xfId="0" applyFont="1" applyFill="1" applyBorder="1" applyAlignment="1">
      <alignment horizontal="centerContinuous" wrapText="1"/>
    </xf>
    <xf numFmtId="0" fontId="4" fillId="2" borderId="2" xfId="0" applyFont="1" applyFill="1" applyBorder="1" applyAlignment="1">
      <alignment horizontal="centerContinuous" wrapText="1"/>
    </xf>
    <xf numFmtId="0" fontId="4" fillId="2" borderId="3" xfId="0" applyFont="1" applyFill="1" applyBorder="1" applyAlignment="1">
      <alignment horizontal="centerContinuous" wrapText="1"/>
    </xf>
    <xf numFmtId="0" fontId="4" fillId="0" borderId="0" xfId="0" applyFont="1"/>
    <xf numFmtId="0" fontId="5" fillId="0" borderId="0" xfId="0" applyFont="1"/>
    <xf numFmtId="0" fontId="4" fillId="0" borderId="5" xfId="0" applyFont="1" applyBorder="1" applyAlignment="1">
      <alignment horizontal="center"/>
    </xf>
    <xf numFmtId="164" fontId="6" fillId="0" borderId="6" xfId="0" applyNumberFormat="1" applyFont="1" applyBorder="1"/>
    <xf numFmtId="0" fontId="4" fillId="0" borderId="11" xfId="0" applyFont="1" applyBorder="1" applyAlignment="1">
      <alignment horizontal="center"/>
    </xf>
    <xf numFmtId="0" fontId="2" fillId="6" borderId="12" xfId="1" applyBorder="1" applyAlignment="1">
      <alignment wrapText="1"/>
    </xf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1" fillId="0" borderId="12" xfId="0" applyFont="1" applyBorder="1"/>
    <xf numFmtId="0" fontId="1" fillId="0" borderId="14" xfId="0" applyFont="1" applyBorder="1"/>
    <xf numFmtId="0" fontId="1" fillId="0" borderId="4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0" fillId="7" borderId="4" xfId="0" applyFont="1" applyFill="1" applyBorder="1"/>
    <xf numFmtId="0" fontId="7" fillId="0" borderId="4" xfId="0" applyFont="1" applyBorder="1"/>
    <xf numFmtId="0" fontId="8" fillId="8" borderId="10" xfId="0" applyFont="1" applyFill="1" applyBorder="1"/>
    <xf numFmtId="0" fontId="9" fillId="8" borderId="7" xfId="0" applyFont="1" applyFill="1" applyBorder="1" applyAlignment="1">
      <alignment horizontal="center"/>
    </xf>
    <xf numFmtId="0" fontId="9" fillId="8" borderId="8" xfId="0" applyFont="1" applyFill="1" applyBorder="1" applyAlignment="1">
      <alignment horizontal="center"/>
    </xf>
    <xf numFmtId="0" fontId="9" fillId="8" borderId="9" xfId="0" applyFont="1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2"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22411</xdr:colOff>
      <xdr:row>0</xdr:row>
      <xdr:rowOff>0</xdr:rowOff>
    </xdr:from>
    <xdr:to>
      <xdr:col>22</xdr:col>
      <xdr:colOff>47523</xdr:colOff>
      <xdr:row>7</xdr:row>
      <xdr:rowOff>161827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6411" y="0"/>
          <a:ext cx="7891641" cy="1685827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37272</xdr:colOff>
      <xdr:row>0</xdr:row>
      <xdr:rowOff>142046</xdr:rowOff>
    </xdr:from>
    <xdr:to>
      <xdr:col>25</xdr:col>
      <xdr:colOff>75372</xdr:colOff>
      <xdr:row>25</xdr:row>
      <xdr:rowOff>151571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0" y="142046"/>
          <a:ext cx="8618883" cy="47720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D14"/>
  <sheetViews>
    <sheetView workbookViewId="0">
      <selection activeCell="C14" sqref="C14"/>
    </sheetView>
  </sheetViews>
  <sheetFormatPr defaultRowHeight="15" x14ac:dyDescent="0.25"/>
  <cols>
    <col min="1" max="1" width="56.28515625" customWidth="1"/>
    <col min="2" max="2" width="14" customWidth="1"/>
    <col min="3" max="3" width="14.42578125" customWidth="1"/>
    <col min="4" max="4" width="77.42578125" customWidth="1"/>
  </cols>
  <sheetData>
    <row r="1" spans="1:4" ht="30" x14ac:dyDescent="0.25">
      <c r="A1" s="5" t="s">
        <v>5</v>
      </c>
      <c r="B1" s="5" t="s">
        <v>6</v>
      </c>
      <c r="C1" s="5" t="s">
        <v>7</v>
      </c>
      <c r="D1" s="5" t="s">
        <v>8</v>
      </c>
    </row>
    <row r="2" spans="1:4" x14ac:dyDescent="0.25">
      <c r="A2" s="6" t="s">
        <v>9</v>
      </c>
      <c r="B2" s="7">
        <v>3</v>
      </c>
      <c r="C2" s="7">
        <f t="shared" ref="C2:C11" si="0">B2</f>
        <v>3</v>
      </c>
      <c r="D2" s="6" t="str">
        <f>IF(B2&lt;&gt;C2,K2,"")</f>
        <v/>
      </c>
    </row>
    <row r="3" spans="1:4" ht="30" x14ac:dyDescent="0.25">
      <c r="A3" s="6" t="s">
        <v>10</v>
      </c>
      <c r="B3" s="7">
        <v>3</v>
      </c>
      <c r="C3" s="7">
        <f t="shared" si="0"/>
        <v>3</v>
      </c>
      <c r="D3" s="6" t="str">
        <f t="shared" ref="D3:D11" si="1">IF(B3&lt;&gt;C3,K3,"")</f>
        <v/>
      </c>
    </row>
    <row r="4" spans="1:4" x14ac:dyDescent="0.25">
      <c r="A4" s="6" t="s">
        <v>11</v>
      </c>
      <c r="B4" s="7">
        <v>3</v>
      </c>
      <c r="C4" s="7">
        <f t="shared" si="0"/>
        <v>3</v>
      </c>
      <c r="D4" s="6" t="str">
        <f t="shared" si="1"/>
        <v/>
      </c>
    </row>
    <row r="5" spans="1:4" ht="30" x14ac:dyDescent="0.25">
      <c r="A5" s="6" t="s">
        <v>12</v>
      </c>
      <c r="B5" s="7">
        <v>3</v>
      </c>
      <c r="C5" s="7">
        <f t="shared" si="0"/>
        <v>3</v>
      </c>
      <c r="D5" s="6" t="str">
        <f t="shared" si="1"/>
        <v/>
      </c>
    </row>
    <row r="6" spans="1:4" ht="45" x14ac:dyDescent="0.25">
      <c r="A6" s="6" t="s">
        <v>13</v>
      </c>
      <c r="B6" s="7">
        <v>3</v>
      </c>
      <c r="C6" s="7">
        <f t="shared" si="0"/>
        <v>3</v>
      </c>
      <c r="D6" s="6" t="str">
        <f t="shared" si="1"/>
        <v/>
      </c>
    </row>
    <row r="7" spans="1:4" x14ac:dyDescent="0.25">
      <c r="A7" s="6" t="s">
        <v>14</v>
      </c>
      <c r="B7" s="7">
        <v>3</v>
      </c>
      <c r="C7" s="7">
        <f t="shared" si="0"/>
        <v>3</v>
      </c>
      <c r="D7" s="6" t="str">
        <f t="shared" si="1"/>
        <v/>
      </c>
    </row>
    <row r="8" spans="1:4" ht="45" x14ac:dyDescent="0.25">
      <c r="A8" s="6" t="s">
        <v>15</v>
      </c>
      <c r="B8" s="7">
        <v>3</v>
      </c>
      <c r="C8" s="7">
        <f t="shared" si="0"/>
        <v>3</v>
      </c>
      <c r="D8" s="6" t="str">
        <f t="shared" si="1"/>
        <v/>
      </c>
    </row>
    <row r="9" spans="1:4" x14ac:dyDescent="0.25">
      <c r="A9" s="6" t="s">
        <v>16</v>
      </c>
      <c r="B9" s="7">
        <v>3</v>
      </c>
      <c r="C9" s="7">
        <f t="shared" si="0"/>
        <v>3</v>
      </c>
      <c r="D9" s="6" t="str">
        <f t="shared" si="1"/>
        <v/>
      </c>
    </row>
    <row r="10" spans="1:4" x14ac:dyDescent="0.25">
      <c r="A10" s="6" t="s">
        <v>17</v>
      </c>
      <c r="B10" s="7">
        <v>3</v>
      </c>
      <c r="C10" s="7">
        <f t="shared" si="0"/>
        <v>3</v>
      </c>
      <c r="D10" s="6" t="str">
        <f t="shared" si="1"/>
        <v/>
      </c>
    </row>
    <row r="11" spans="1:4" x14ac:dyDescent="0.25">
      <c r="A11" s="6" t="s">
        <v>18</v>
      </c>
      <c r="B11" s="7">
        <v>3</v>
      </c>
      <c r="C11" s="7">
        <f t="shared" si="0"/>
        <v>3</v>
      </c>
      <c r="D11" s="6" t="str">
        <f t="shared" si="1"/>
        <v/>
      </c>
    </row>
    <row r="12" spans="1:4" x14ac:dyDescent="0.25">
      <c r="C12" s="8" t="str">
        <f>IF(C13="Late",-0.25*SUM(C1:C11),"")</f>
        <v/>
      </c>
      <c r="D12" s="8" t="str">
        <f>IF($C$13="Late","Late","")</f>
        <v/>
      </c>
    </row>
    <row r="13" spans="1:4" x14ac:dyDescent="0.25">
      <c r="A13" s="9" t="s">
        <v>19</v>
      </c>
      <c r="B13" s="10">
        <f>SUM(B2:B11)</f>
        <v>30</v>
      </c>
      <c r="D13" s="8" t="str">
        <f>IF($C$13="Late","In accordance with the syllabus, late points are subtracted from score (25%).","")</f>
        <v/>
      </c>
    </row>
    <row r="14" spans="1:4" x14ac:dyDescent="0.25">
      <c r="C14" s="10">
        <f>SUM(C2:C12)</f>
        <v>30</v>
      </c>
    </row>
  </sheetData>
  <conditionalFormatting sqref="A3:C11">
    <cfRule type="expression" dxfId="1" priority="1">
      <formula>$B3&lt;&gt;$C3</formula>
    </cfRule>
  </conditionalFormatting>
  <conditionalFormatting sqref="A2:D2 D3:D11">
    <cfRule type="expression" dxfId="0" priority="2">
      <formula>$B2&lt;&gt;$C2</formula>
    </cfRule>
  </conditionalFormatting>
  <dataValidations count="1">
    <dataValidation type="list" allowBlank="1" showInputMessage="1" showErrorMessage="1" sqref="C13" xr:uid="{00000000-0002-0000-0000-000000000000}">
      <formula1>"Late"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FF"/>
  </sheetPr>
  <dimension ref="A1:L21"/>
  <sheetViews>
    <sheetView zoomScale="85" zoomScaleNormal="85" workbookViewId="0">
      <selection activeCell="F14" sqref="F14"/>
    </sheetView>
  </sheetViews>
  <sheetFormatPr defaultRowHeight="15" x14ac:dyDescent="0.25"/>
  <cols>
    <col min="1" max="1" width="18.7109375" style="14" customWidth="1"/>
    <col min="2" max="7" width="13" style="14" customWidth="1"/>
    <col min="8" max="12" width="13.5703125" style="14" bestFit="1" customWidth="1"/>
    <col min="13" max="16384" width="9.140625" style="14"/>
  </cols>
  <sheetData>
    <row r="1" spans="1:12" ht="30" x14ac:dyDescent="0.25">
      <c r="A1" s="11" t="s">
        <v>20</v>
      </c>
      <c r="B1" s="12"/>
      <c r="C1" s="12"/>
      <c r="D1" s="12"/>
      <c r="E1" s="12"/>
      <c r="F1" s="12"/>
      <c r="G1" s="12"/>
      <c r="H1" s="12"/>
      <c r="I1" s="13"/>
    </row>
    <row r="3" spans="1:12" x14ac:dyDescent="0.25">
      <c r="J3" s="15" t="s">
        <v>0</v>
      </c>
    </row>
    <row r="4" spans="1:12" x14ac:dyDescent="0.25">
      <c r="A4" s="27" t="s">
        <v>21</v>
      </c>
      <c r="B4" s="28">
        <v>5</v>
      </c>
    </row>
    <row r="5" spans="1:12" x14ac:dyDescent="0.25">
      <c r="A5" s="27" t="s">
        <v>22</v>
      </c>
      <c r="B5" s="28">
        <v>5</v>
      </c>
    </row>
    <row r="6" spans="1:12" x14ac:dyDescent="0.25">
      <c r="A6" s="27" t="s">
        <v>24</v>
      </c>
      <c r="B6" s="28">
        <v>0.01</v>
      </c>
    </row>
    <row r="7" spans="1:12" x14ac:dyDescent="0.25">
      <c r="A7" s="27" t="s">
        <v>23</v>
      </c>
      <c r="B7" s="28">
        <v>0.01</v>
      </c>
    </row>
    <row r="8" spans="1:12" ht="15.75" thickBot="1" x14ac:dyDescent="0.3"/>
    <row r="9" spans="1:12" ht="27" thickBot="1" x14ac:dyDescent="0.45">
      <c r="A9" s="30" t="s">
        <v>26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2"/>
    </row>
    <row r="10" spans="1:12" x14ac:dyDescent="0.25">
      <c r="A10" s="29" t="s">
        <v>27</v>
      </c>
      <c r="B10" s="17">
        <v>2500</v>
      </c>
      <c r="C10" s="16"/>
      <c r="D10" s="16"/>
      <c r="E10" s="16"/>
      <c r="F10" s="16"/>
      <c r="G10" s="16"/>
      <c r="H10" s="16"/>
      <c r="I10" s="16"/>
      <c r="J10" s="16"/>
      <c r="K10" s="16"/>
      <c r="L10" s="18"/>
    </row>
    <row r="11" spans="1:12" ht="30" x14ac:dyDescent="0.25">
      <c r="A11" s="19" t="s">
        <v>25</v>
      </c>
      <c r="B11" s="25">
        <f>B6</f>
        <v>0.01</v>
      </c>
      <c r="C11" s="25">
        <f>B11+$B$7</f>
        <v>0.02</v>
      </c>
      <c r="D11" s="25">
        <f t="shared" ref="D11:L11" si="0">C11+$B$7</f>
        <v>0.03</v>
      </c>
      <c r="E11" s="25">
        <f t="shared" si="0"/>
        <v>0.04</v>
      </c>
      <c r="F11" s="25">
        <f t="shared" si="0"/>
        <v>0.05</v>
      </c>
      <c r="G11" s="25">
        <f t="shared" si="0"/>
        <v>6.0000000000000005E-2</v>
      </c>
      <c r="H11" s="25">
        <f t="shared" si="0"/>
        <v>7.0000000000000007E-2</v>
      </c>
      <c r="I11" s="25">
        <f t="shared" si="0"/>
        <v>0.08</v>
      </c>
      <c r="J11" s="25">
        <f t="shared" si="0"/>
        <v>0.09</v>
      </c>
      <c r="K11" s="25">
        <f t="shared" si="0"/>
        <v>9.9999999999999992E-2</v>
      </c>
      <c r="L11" s="26">
        <f t="shared" si="0"/>
        <v>0.10999999999999999</v>
      </c>
    </row>
    <row r="12" spans="1:12" x14ac:dyDescent="0.25">
      <c r="A12" s="23">
        <f>B4</f>
        <v>5</v>
      </c>
      <c r="B12" s="7">
        <f>FV(B$11,$A12,-$B$10)</f>
        <v>12752.512524999982</v>
      </c>
      <c r="C12" s="7">
        <f t="shared" ref="C12:L21" si="1">FV(C$11,$A12,-$B$10)</f>
        <v>13010.100400000001</v>
      </c>
      <c r="D12" s="7">
        <f t="shared" si="1"/>
        <v>13272.839524999988</v>
      </c>
      <c r="E12" s="7">
        <f t="shared" si="1"/>
        <v>13540.806400000021</v>
      </c>
      <c r="F12" s="7">
        <f t="shared" si="1"/>
        <v>13814.078125000007</v>
      </c>
      <c r="G12" s="7">
        <f t="shared" si="1"/>
        <v>14092.732400000019</v>
      </c>
      <c r="H12" s="7">
        <f t="shared" si="1"/>
        <v>14376.847525000005</v>
      </c>
      <c r="I12" s="7">
        <f t="shared" si="1"/>
        <v>14666.50240000001</v>
      </c>
      <c r="J12" s="7">
        <f t="shared" si="1"/>
        <v>14961.776525000014</v>
      </c>
      <c r="K12" s="7">
        <f t="shared" si="1"/>
        <v>15262.750000000016</v>
      </c>
      <c r="L12" s="20">
        <f t="shared" si="1"/>
        <v>15569.503524999978</v>
      </c>
    </row>
    <row r="13" spans="1:12" x14ac:dyDescent="0.25">
      <c r="A13" s="23">
        <f>A12+$B$5</f>
        <v>10</v>
      </c>
      <c r="B13" s="7">
        <f t="shared" ref="B13:B21" si="2">FV(B$11,$A13,-$B$10)</f>
        <v>26155.531352801183</v>
      </c>
      <c r="C13" s="7">
        <f t="shared" si="1"/>
        <v>27374.302499344634</v>
      </c>
      <c r="D13" s="7">
        <f t="shared" si="1"/>
        <v>28659.698278676817</v>
      </c>
      <c r="E13" s="7">
        <f t="shared" si="1"/>
        <v>30015.267807396536</v>
      </c>
      <c r="F13" s="7">
        <f t="shared" si="1"/>
        <v>31444.731338872076</v>
      </c>
      <c r="G13" s="7">
        <f t="shared" si="1"/>
        <v>32951.987355952268</v>
      </c>
      <c r="H13" s="7">
        <f t="shared" si="1"/>
        <v>34541.119903198771</v>
      </c>
      <c r="I13" s="7">
        <f t="shared" si="1"/>
        <v>36216.40616477462</v>
      </c>
      <c r="J13" s="7">
        <f t="shared" si="1"/>
        <v>37982.324294225524</v>
      </c>
      <c r="K13" s="7">
        <f t="shared" si="1"/>
        <v>39843.561502500052</v>
      </c>
      <c r="L13" s="20">
        <f t="shared" si="1"/>
        <v>41805.022410659374</v>
      </c>
    </row>
    <row r="14" spans="1:12" x14ac:dyDescent="0.25">
      <c r="A14" s="23">
        <f t="shared" ref="A14:A21" si="3">A13+$B$5</f>
        <v>15</v>
      </c>
      <c r="B14" s="7">
        <f t="shared" si="2"/>
        <v>40242.238842499617</v>
      </c>
      <c r="C14" s="7">
        <f t="shared" si="1"/>
        <v>43233.542290516154</v>
      </c>
      <c r="D14" s="7">
        <f t="shared" si="1"/>
        <v>46497.28471673037</v>
      </c>
      <c r="E14" s="7">
        <f t="shared" si="1"/>
        <v>50058.969094182292</v>
      </c>
      <c r="F14" s="7">
        <f t="shared" si="1"/>
        <v>53946.408970568395</v>
      </c>
      <c r="G14" s="7">
        <f t="shared" si="1"/>
        <v>58189.924712487176</v>
      </c>
      <c r="H14" s="7">
        <f t="shared" si="1"/>
        <v>62822.555025547663</v>
      </c>
      <c r="I14" s="7">
        <f t="shared" si="1"/>
        <v>67880.284818695975</v>
      </c>
      <c r="J14" s="7">
        <f t="shared" si="1"/>
        <v>73402.290546875636</v>
      </c>
      <c r="K14" s="7">
        <f t="shared" si="1"/>
        <v>79431.204235391386</v>
      </c>
      <c r="L14" s="20">
        <f t="shared" si="1"/>
        <v>86013.3974622198</v>
      </c>
    </row>
    <row r="15" spans="1:12" x14ac:dyDescent="0.25">
      <c r="A15" s="23">
        <f t="shared" si="3"/>
        <v>20</v>
      </c>
      <c r="B15" s="7">
        <f t="shared" si="2"/>
        <v>55047.509986991761</v>
      </c>
      <c r="C15" s="7">
        <f t="shared" si="1"/>
        <v>60743.424497294276</v>
      </c>
      <c r="D15" s="7">
        <f t="shared" si="1"/>
        <v>67175.936222451099</v>
      </c>
      <c r="E15" s="7">
        <f t="shared" si="1"/>
        <v>74445.196439588821</v>
      </c>
      <c r="F15" s="7">
        <f t="shared" si="1"/>
        <v>82664.885257221031</v>
      </c>
      <c r="G15" s="7">
        <f t="shared" si="1"/>
        <v>91963.978008868653</v>
      </c>
      <c r="H15" s="7">
        <f t="shared" si="1"/>
        <v>102488.73080307784</v>
      </c>
      <c r="I15" s="7">
        <f t="shared" si="1"/>
        <v>114404.91074529084</v>
      </c>
      <c r="J15" s="7">
        <f t="shared" si="1"/>
        <v>127900.2991049527</v>
      </c>
      <c r="K15" s="7">
        <f t="shared" si="1"/>
        <v>143187.49873314024</v>
      </c>
      <c r="L15" s="20">
        <f t="shared" si="1"/>
        <v>160507.080366571</v>
      </c>
    </row>
    <row r="16" spans="1:12" x14ac:dyDescent="0.25">
      <c r="A16" s="23">
        <f t="shared" si="3"/>
        <v>25</v>
      </c>
      <c r="B16" s="7">
        <f t="shared" si="2"/>
        <v>70607.998754308559</v>
      </c>
      <c r="C16" s="7">
        <f t="shared" si="1"/>
        <v>80075.749308091181</v>
      </c>
      <c r="D16" s="7">
        <f t="shared" si="1"/>
        <v>91148.160804517815</v>
      </c>
      <c r="E16" s="7">
        <f t="shared" si="1"/>
        <v>104114.77071796395</v>
      </c>
      <c r="F16" s="7">
        <f t="shared" si="1"/>
        <v>119317.74704496929</v>
      </c>
      <c r="G16" s="7">
        <f t="shared" si="1"/>
        <v>137161.279989312</v>
      </c>
      <c r="H16" s="7">
        <f t="shared" si="1"/>
        <v>158122.59429010324</v>
      </c>
      <c r="I16" s="7">
        <f t="shared" si="1"/>
        <v>182764.84988185391</v>
      </c>
      <c r="J16" s="7">
        <f t="shared" si="1"/>
        <v>211752.24056675538</v>
      </c>
      <c r="K16" s="7">
        <f t="shared" si="1"/>
        <v>245867.64858470979</v>
      </c>
      <c r="L16" s="20">
        <f t="shared" si="1"/>
        <v>286033.26824798132</v>
      </c>
    </row>
    <row r="17" spans="1:12" x14ac:dyDescent="0.25">
      <c r="A17" s="23">
        <f t="shared" si="3"/>
        <v>30</v>
      </c>
      <c r="B17" s="7">
        <f t="shared" si="2"/>
        <v>86962.22883322656</v>
      </c>
      <c r="C17" s="7">
        <f t="shared" si="1"/>
        <v>101420.19801291918</v>
      </c>
      <c r="D17" s="7">
        <f t="shared" si="1"/>
        <v>118938.53926580492</v>
      </c>
      <c r="E17" s="7">
        <f t="shared" si="1"/>
        <v>140212.34437672139</v>
      </c>
      <c r="F17" s="7">
        <f t="shared" si="1"/>
        <v>166097.11875753311</v>
      </c>
      <c r="G17" s="7">
        <f t="shared" si="1"/>
        <v>197645.46553805246</v>
      </c>
      <c r="H17" s="7">
        <f t="shared" si="1"/>
        <v>236151.9658093582</v>
      </c>
      <c r="I17" s="7">
        <f t="shared" si="1"/>
        <v>283208.02778354514</v>
      </c>
      <c r="J17" s="7">
        <f t="shared" si="1"/>
        <v>340768.84636475745</v>
      </c>
      <c r="K17" s="7">
        <f t="shared" si="1"/>
        <v>411235.05672216113</v>
      </c>
      <c r="L17" s="20">
        <f t="shared" si="1"/>
        <v>497552.19481616654</v>
      </c>
    </row>
    <row r="18" spans="1:12" x14ac:dyDescent="0.25">
      <c r="A18" s="23">
        <f t="shared" si="3"/>
        <v>35</v>
      </c>
      <c r="B18" s="7">
        <f t="shared" si="2"/>
        <v>104150.68900781705</v>
      </c>
      <c r="C18" s="7">
        <f t="shared" si="1"/>
        <v>124986.19408280683</v>
      </c>
      <c r="D18" s="7">
        <f t="shared" si="1"/>
        <v>151155.20453096021</v>
      </c>
      <c r="E18" s="7">
        <f t="shared" si="1"/>
        <v>184130.56213824646</v>
      </c>
      <c r="F18" s="7">
        <f t="shared" si="1"/>
        <v>225800.76837961253</v>
      </c>
      <c r="G18" s="7">
        <f t="shared" si="1"/>
        <v>278586.94967968122</v>
      </c>
      <c r="H18" s="7">
        <f t="shared" si="1"/>
        <v>345592.19587912259</v>
      </c>
      <c r="I18" s="7">
        <f t="shared" si="1"/>
        <v>430792.00919751747</v>
      </c>
      <c r="J18" s="7">
        <f t="shared" si="1"/>
        <v>539276.88662545383</v>
      </c>
      <c r="K18" s="7">
        <f t="shared" si="1"/>
        <v>677560.92120160803</v>
      </c>
      <c r="L18" s="20">
        <f t="shared" si="1"/>
        <v>853973.88698788499</v>
      </c>
    </row>
    <row r="19" spans="1:12" x14ac:dyDescent="0.25">
      <c r="A19" s="23">
        <f t="shared" si="3"/>
        <v>40</v>
      </c>
      <c r="B19" s="7">
        <f t="shared" si="2"/>
        <v>122215.93339705539</v>
      </c>
      <c r="C19" s="7">
        <f t="shared" si="1"/>
        <v>151004.95795185649</v>
      </c>
      <c r="D19" s="7">
        <f t="shared" si="1"/>
        <v>188503.14933325598</v>
      </c>
      <c r="E19" s="7">
        <f t="shared" si="1"/>
        <v>237563.78924604121</v>
      </c>
      <c r="F19" s="7">
        <f t="shared" si="1"/>
        <v>301999.43560623244</v>
      </c>
      <c r="G19" s="7">
        <f t="shared" si="1"/>
        <v>386904.91404691362</v>
      </c>
      <c r="H19" s="7">
        <f t="shared" si="1"/>
        <v>499087.77997167688</v>
      </c>
      <c r="I19" s="7">
        <f t="shared" si="1"/>
        <v>647641.29677499656</v>
      </c>
      <c r="J19" s="7">
        <f t="shared" si="1"/>
        <v>844706.11261081474</v>
      </c>
      <c r="K19" s="7">
        <f t="shared" si="1"/>
        <v>1106481.389204402</v>
      </c>
      <c r="L19" s="20">
        <f t="shared" si="1"/>
        <v>1454565.1660363805</v>
      </c>
    </row>
    <row r="20" spans="1:12" x14ac:dyDescent="0.25">
      <c r="A20" s="23">
        <f t="shared" si="3"/>
        <v>45</v>
      </c>
      <c r="B20" s="7">
        <f t="shared" si="2"/>
        <v>141202.68680765745</v>
      </c>
      <c r="C20" s="7">
        <f t="shared" si="1"/>
        <v>179731.7756626679</v>
      </c>
      <c r="D20" s="7">
        <f t="shared" si="1"/>
        <v>231799.65347094502</v>
      </c>
      <c r="E20" s="7">
        <f t="shared" si="1"/>
        <v>302573.48009133799</v>
      </c>
      <c r="F20" s="7">
        <f t="shared" si="1"/>
        <v>399250.38967464061</v>
      </c>
      <c r="G20" s="7">
        <f t="shared" si="1"/>
        <v>531858.78447670955</v>
      </c>
      <c r="H20" s="7">
        <f t="shared" si="1"/>
        <v>714373.27709549619</v>
      </c>
      <c r="I20" s="7">
        <f t="shared" si="1"/>
        <v>966264.04344666365</v>
      </c>
      <c r="J20" s="7">
        <f t="shared" si="1"/>
        <v>1314646.8362384571</v>
      </c>
      <c r="K20" s="7">
        <f t="shared" si="1"/>
        <v>1797262.0921275823</v>
      </c>
      <c r="L20" s="20">
        <f t="shared" si="1"/>
        <v>2466596.3986789868</v>
      </c>
    </row>
    <row r="21" spans="1:12" ht="15.75" thickBot="1" x14ac:dyDescent="0.3">
      <c r="A21" s="24">
        <f t="shared" si="3"/>
        <v>50</v>
      </c>
      <c r="B21" s="21">
        <f t="shared" si="2"/>
        <v>161157.95546097078</v>
      </c>
      <c r="C21" s="21">
        <f t="shared" si="1"/>
        <v>211448.50363420058</v>
      </c>
      <c r="D21" s="21">
        <f t="shared" si="1"/>
        <v>281992.16822559055</v>
      </c>
      <c r="E21" s="21">
        <f t="shared" si="1"/>
        <v>381667.70914239512</v>
      </c>
      <c r="F21" s="21">
        <f t="shared" si="1"/>
        <v>523369.98928768421</v>
      </c>
      <c r="G21" s="21">
        <f t="shared" si="1"/>
        <v>725839.76145797863</v>
      </c>
      <c r="H21" s="21">
        <f t="shared" si="1"/>
        <v>1016322.3236811189</v>
      </c>
      <c r="I21" s="21">
        <f t="shared" si="1"/>
        <v>1434425.3910384786</v>
      </c>
      <c r="J21" s="21">
        <f t="shared" si="1"/>
        <v>2037708.8909949879</v>
      </c>
      <c r="K21" s="21">
        <f t="shared" si="1"/>
        <v>2909771.3219923931</v>
      </c>
      <c r="L21" s="22">
        <f t="shared" si="1"/>
        <v>4171927.8804593161</v>
      </c>
    </row>
  </sheetData>
  <mergeCells count="2">
    <mergeCell ref="A9:L9"/>
    <mergeCell ref="C10:L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00FF"/>
  </sheetPr>
  <dimension ref="A1:J4"/>
  <sheetViews>
    <sheetView tabSelected="1" zoomScale="85" zoomScaleNormal="85" workbookViewId="0">
      <selection activeCell="F16" sqref="F16:G16"/>
    </sheetView>
  </sheetViews>
  <sheetFormatPr defaultRowHeight="15" x14ac:dyDescent="0.25"/>
  <cols>
    <col min="1" max="10" width="16" customWidth="1"/>
  </cols>
  <sheetData>
    <row r="1" spans="1:10" x14ac:dyDescent="0.25">
      <c r="A1" s="1" t="s">
        <v>1</v>
      </c>
      <c r="B1" s="2"/>
      <c r="C1" s="2"/>
      <c r="D1" s="2"/>
      <c r="E1" s="2"/>
      <c r="F1" s="2"/>
      <c r="G1" s="2"/>
      <c r="H1" s="2"/>
      <c r="I1" s="3"/>
      <c r="J1" s="4"/>
    </row>
    <row r="2" spans="1:10" x14ac:dyDescent="0.25">
      <c r="A2" s="1" t="s">
        <v>2</v>
      </c>
      <c r="B2" s="2"/>
      <c r="C2" s="2"/>
      <c r="D2" s="2"/>
      <c r="E2" s="2"/>
      <c r="F2" s="2"/>
      <c r="G2" s="2"/>
      <c r="H2" s="2"/>
      <c r="I2" s="3"/>
      <c r="J2" s="4"/>
    </row>
    <row r="3" spans="1:10" x14ac:dyDescent="0.25">
      <c r="A3" s="1" t="s">
        <v>3</v>
      </c>
      <c r="B3" s="2"/>
      <c r="C3" s="2"/>
      <c r="D3" s="2"/>
      <c r="E3" s="2"/>
      <c r="F3" s="2"/>
      <c r="G3" s="2"/>
      <c r="H3" s="2"/>
      <c r="I3" s="3"/>
      <c r="J3" s="4"/>
    </row>
    <row r="4" spans="1:10" x14ac:dyDescent="0.25">
      <c r="A4" s="1" t="s">
        <v>4</v>
      </c>
      <c r="B4" s="2"/>
      <c r="C4" s="2"/>
      <c r="D4" s="2"/>
      <c r="E4" s="2"/>
      <c r="F4" s="2"/>
      <c r="G4" s="2"/>
      <c r="H4" s="2"/>
      <c r="I4" s="3"/>
      <c r="J4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(1)</vt:lpstr>
      <vt:lpstr>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Ngoc Dinh</cp:lastModifiedBy>
  <dcterms:created xsi:type="dcterms:W3CDTF">2016-04-26T00:28:01Z</dcterms:created>
  <dcterms:modified xsi:type="dcterms:W3CDTF">2018-09-19T15:41:09Z</dcterms:modified>
</cp:coreProperties>
</file>