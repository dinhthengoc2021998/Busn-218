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dinht\Downloads\"/>
    </mc:Choice>
  </mc:AlternateContent>
  <xr:revisionPtr revIDLastSave="0" documentId="13_ncr:1_{72204C0F-2668-46BF-A58E-6A5873540333}" xr6:coauthVersionLast="37" xr6:coauthVersionMax="37" xr10:uidLastSave="{00000000-0000-0000-0000-000000000000}"/>
  <bookViews>
    <workbookView xWindow="0" yWindow="0" windowWidth="19245" windowHeight="7200" tabRatio="660" firstSheet="12" activeTab="17" xr2:uid="{00000000-000D-0000-FFFF-FFFF00000000}"/>
  </bookViews>
  <sheets>
    <sheet name="Topics" sheetId="1" r:id="rId1"/>
    <sheet name="MacroNotes" sheetId="2" r:id="rId2"/>
    <sheet name="M1.1" sheetId="3" r:id="rId3"/>
    <sheet name="M1.2" sheetId="4" r:id="rId4"/>
    <sheet name="M1.3" sheetId="5" r:id="rId5"/>
    <sheet name="M2.1" sheetId="6" r:id="rId6"/>
    <sheet name="M2.2" sheetId="7" r:id="rId7"/>
    <sheet name="M2.3" sheetId="8" r:id="rId8"/>
    <sheet name="M3.1" sheetId="21" r:id="rId9"/>
    <sheet name="M3.2" sheetId="10" r:id="rId10"/>
    <sheet name="M3.3" sheetId="11" r:id="rId11"/>
    <sheet name="M3.4" sheetId="12" r:id="rId12"/>
    <sheet name="M3.5" sheetId="13" r:id="rId13"/>
    <sheet name="M3.6" sheetId="14" r:id="rId14"/>
    <sheet name="M4" sheetId="15" r:id="rId15"/>
    <sheet name="M5" sheetId="16" r:id="rId16"/>
    <sheet name="M6" sheetId="17" r:id="rId17"/>
    <sheet name="ProperDataSet" sheetId="18" r:id="rId18"/>
  </sheets>
  <functionGroups builtInGroupCount="19"/>
  <definedNames>
    <definedName name="_xlnm._FilterDatabase" localSheetId="16" hidden="1">'M6'!$A$11:$G$10011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5" i="10" l="1"/>
  <c r="H15" i="10"/>
  <c r="I14" i="10"/>
  <c r="H14" i="10"/>
  <c r="I13" i="10"/>
  <c r="H13" i="10"/>
  <c r="I12" i="10"/>
  <c r="H12" i="10"/>
  <c r="I11" i="10"/>
  <c r="H11" i="10"/>
  <c r="I10" i="10"/>
  <c r="H10" i="10"/>
  <c r="I9" i="10"/>
  <c r="H9" i="10"/>
  <c r="I8" i="10"/>
  <c r="H8" i="10"/>
  <c r="I7" i="10"/>
  <c r="H7" i="10"/>
  <c r="I6" i="10"/>
  <c r="H6" i="10"/>
  <c r="I5" i="10"/>
  <c r="H5" i="10"/>
  <c r="I4" i="10"/>
  <c r="H4" i="10"/>
  <c r="I3" i="10"/>
  <c r="H3" i="10"/>
  <c r="I2" i="10"/>
  <c r="H2" i="10"/>
  <c r="I15" i="21"/>
  <c r="H15" i="21"/>
  <c r="I14" i="21"/>
  <c r="H14" i="21"/>
  <c r="I13" i="21"/>
  <c r="H13" i="21"/>
  <c r="I12" i="21"/>
  <c r="H12" i="21"/>
  <c r="I11" i="21"/>
  <c r="H11" i="21"/>
  <c r="I10" i="21"/>
  <c r="H10" i="21"/>
  <c r="I9" i="21"/>
  <c r="H9" i="21"/>
  <c r="I8" i="21"/>
  <c r="H8" i="21"/>
  <c r="I7" i="21"/>
  <c r="H7" i="21"/>
  <c r="I6" i="21"/>
  <c r="H6" i="21"/>
  <c r="I5" i="21"/>
  <c r="H5" i="21"/>
  <c r="I4" i="21"/>
  <c r="H4" i="21"/>
  <c r="I3" i="21"/>
  <c r="H3" i="21"/>
  <c r="I2" i="21"/>
  <c r="H2" i="21"/>
  <c r="D21" i="8"/>
  <c r="D20" i="8"/>
  <c r="D19" i="8"/>
  <c r="D18" i="8"/>
  <c r="D17" i="8"/>
  <c r="D16" i="8"/>
  <c r="D15" i="8"/>
  <c r="D14" i="8"/>
  <c r="D13" i="8"/>
  <c r="D12" i="8"/>
  <c r="D11" i="8"/>
  <c r="D10" i="8"/>
  <c r="D9" i="8"/>
  <c r="D8" i="8"/>
  <c r="D7" i="8"/>
  <c r="D6" i="8"/>
  <c r="D5" i="8"/>
  <c r="D4" i="8"/>
  <c r="D3" i="8"/>
  <c r="D2" i="8"/>
  <c r="D7" i="7"/>
  <c r="D6" i="7"/>
  <c r="D5" i="7"/>
  <c r="D4" i="7"/>
  <c r="D3" i="7"/>
  <c r="D2" i="7"/>
  <c r="D5" i="6"/>
  <c r="D4" i="6"/>
  <c r="D3" i="6"/>
  <c r="D2" i="6"/>
  <c r="E3" i="5"/>
  <c r="E4" i="5"/>
  <c r="E5" i="5"/>
  <c r="E6" i="5"/>
  <c r="E7" i="5"/>
  <c r="E8" i="5"/>
  <c r="E9" i="5"/>
  <c r="E10" i="5"/>
  <c r="E11" i="5"/>
  <c r="E2" i="5"/>
  <c r="D3" i="5"/>
  <c r="D4" i="5"/>
  <c r="D5" i="5"/>
  <c r="D6" i="5"/>
  <c r="D7" i="5"/>
  <c r="D8" i="5"/>
  <c r="D9" i="5"/>
  <c r="D10" i="5"/>
  <c r="D11" i="5"/>
  <c r="D2" i="5"/>
  <c r="E3" i="4"/>
  <c r="E4" i="4"/>
  <c r="E5" i="4"/>
  <c r="E6" i="4"/>
  <c r="E7" i="4"/>
  <c r="E8" i="4"/>
  <c r="E9" i="4"/>
  <c r="E10" i="4"/>
  <c r="E11" i="4"/>
  <c r="E2" i="4"/>
  <c r="D3" i="4"/>
  <c r="D4" i="4"/>
  <c r="D5" i="4"/>
  <c r="D6" i="4"/>
  <c r="D7" i="4"/>
  <c r="D8" i="4"/>
  <c r="D9" i="4"/>
  <c r="D10" i="4"/>
  <c r="D11" i="4"/>
  <c r="D2" i="4"/>
  <c r="E3" i="3"/>
  <c r="E4" i="3"/>
  <c r="E5" i="3"/>
  <c r="E6" i="3"/>
  <c r="E7" i="3"/>
  <c r="E8" i="3"/>
  <c r="E9" i="3"/>
  <c r="E10" i="3"/>
  <c r="E11" i="3"/>
  <c r="E2" i="3"/>
  <c r="D3" i="3"/>
  <c r="D4" i="3"/>
  <c r="D5" i="3"/>
  <c r="D6" i="3"/>
  <c r="D7" i="3"/>
  <c r="D8" i="3"/>
  <c r="D9" i="3"/>
  <c r="D10" i="3"/>
  <c r="D11" i="3"/>
  <c r="D2" i="3"/>
  <c r="F3" i="16"/>
  <c r="F2" i="16"/>
  <c r="C3" i="16"/>
  <c r="C2" i="16"/>
  <c r="B2" i="15"/>
  <c r="B3" i="15"/>
  <c r="A141" i="11" l="1"/>
  <c r="A140" i="11"/>
  <c r="A131" i="11"/>
  <c r="A130" i="11"/>
  <c r="A121" i="11"/>
  <c r="A120" i="11"/>
  <c r="A111" i="11"/>
  <c r="A110" i="11"/>
  <c r="A101" i="11"/>
  <c r="A100" i="11"/>
  <c r="A91" i="11"/>
  <c r="A90" i="11"/>
  <c r="A81" i="11"/>
  <c r="A80" i="11"/>
  <c r="A71" i="11"/>
  <c r="A70" i="11"/>
  <c r="A61" i="11"/>
  <c r="A60" i="11"/>
  <c r="A51" i="11"/>
  <c r="A50" i="11"/>
  <c r="A41" i="11"/>
  <c r="A40" i="11"/>
  <c r="A31" i="11"/>
  <c r="A30" i="11"/>
  <c r="A21" i="11"/>
  <c r="A20" i="11"/>
  <c r="A11" i="11"/>
  <c r="A10" i="11"/>
  <c r="A141" i="14" l="1"/>
  <c r="A140" i="14"/>
  <c r="A131" i="14"/>
  <c r="A130" i="14"/>
  <c r="A121" i="14"/>
  <c r="A120" i="14"/>
  <c r="A111" i="14"/>
  <c r="A110" i="14"/>
  <c r="A101" i="14"/>
  <c r="A100" i="14"/>
  <c r="A91" i="14"/>
  <c r="A90" i="14"/>
  <c r="A81" i="14"/>
  <c r="A80" i="14"/>
  <c r="A71" i="14"/>
  <c r="A70" i="14"/>
  <c r="A61" i="14"/>
  <c r="A60" i="14"/>
  <c r="A51" i="14"/>
  <c r="A50" i="14"/>
  <c r="A41" i="14"/>
  <c r="A40" i="14"/>
  <c r="A31" i="14"/>
  <c r="A30" i="14"/>
  <c r="A21" i="14"/>
  <c r="A20" i="14"/>
  <c r="A11" i="14"/>
  <c r="A10" i="14"/>
  <c r="A141" i="13"/>
  <c r="A140" i="13"/>
  <c r="A131" i="13"/>
  <c r="A130" i="13"/>
  <c r="A121" i="13"/>
  <c r="A120" i="13"/>
  <c r="A111" i="13"/>
  <c r="A110" i="13"/>
  <c r="A101" i="13"/>
  <c r="A100" i="13"/>
  <c r="A91" i="13"/>
  <c r="A90" i="13"/>
  <c r="A81" i="13"/>
  <c r="A80" i="13"/>
  <c r="A71" i="13"/>
  <c r="A70" i="13"/>
  <c r="A61" i="13"/>
  <c r="A60" i="13"/>
  <c r="A51" i="13"/>
  <c r="A50" i="13"/>
  <c r="A41" i="13"/>
  <c r="A40" i="13"/>
  <c r="A31" i="13"/>
  <c r="A30" i="13"/>
  <c r="A21" i="13"/>
  <c r="A20" i="13"/>
  <c r="A11" i="13"/>
  <c r="A10" i="13"/>
  <c r="A141" i="12"/>
  <c r="A140" i="12"/>
  <c r="A131" i="12"/>
  <c r="A130" i="12"/>
  <c r="A121" i="12"/>
  <c r="A120" i="12"/>
  <c r="A111" i="12"/>
  <c r="A110" i="12"/>
  <c r="A101" i="12"/>
  <c r="A100" i="12"/>
  <c r="A91" i="12"/>
  <c r="A90" i="12"/>
  <c r="A81" i="12"/>
  <c r="A80" i="12"/>
  <c r="A71" i="12"/>
  <c r="A70" i="12"/>
  <c r="A61" i="12"/>
  <c r="A60" i="12"/>
  <c r="A51" i="12"/>
  <c r="A50" i="12"/>
  <c r="A41" i="12"/>
  <c r="A40" i="12"/>
  <c r="A31" i="12"/>
  <c r="A30" i="12"/>
  <c r="A21" i="12"/>
  <c r="A20" i="12"/>
  <c r="A11" i="12"/>
  <c r="A10" i="12"/>
  <c r="A2" i="2"/>
  <c r="A5" i="2" l="1"/>
  <c r="A9" i="2" s="1"/>
  <c r="A14" i="2" l="1"/>
  <c r="A18" i="2" s="1"/>
  <c r="A25" i="2" s="1"/>
  <c r="A30" i="2" s="1"/>
</calcChain>
</file>

<file path=xl/sharedStrings.xml><?xml version="1.0" encoding="utf-8"?>
<sst xmlns="http://schemas.openxmlformats.org/spreadsheetml/2006/main" count="728" uniqueCount="156">
  <si>
    <t>Topics:</t>
  </si>
  <si>
    <t>What is a Macro?</t>
  </si>
  <si>
    <t>Code in Excel is called VBA (Visual Basic Application)</t>
  </si>
  <si>
    <t>Macro is a synonym for VBA</t>
  </si>
  <si>
    <t>VBA = Visual Basic Application = Macro = written code that executes commands to do things in Excel.</t>
  </si>
  <si>
    <t>Code is good for two reasons:</t>
  </si>
  <si>
    <t>That way you can just click a button and the report is formatted</t>
  </si>
  <si>
    <t>For us, non-code writers, we can search Google for the code.</t>
  </si>
  <si>
    <t>If you do not know how to write code, you can use the Macro Recorder.</t>
  </si>
  <si>
    <t>When you hit the Record Macro button:</t>
  </si>
  <si>
    <t>1) It is like a tape recorder</t>
  </si>
  <si>
    <t>2) Whatever you do in Excel, the Macro Recorder writes the VBA Code for you.</t>
  </si>
  <si>
    <t xml:space="preserve">You must use the ".xlsm" extension in order to use Macros. </t>
  </si>
  <si>
    <t>File extension: use ".xlsm". "m" means Macro</t>
  </si>
  <si>
    <t>File extension "xlsx" will not allow Macros.</t>
  </si>
  <si>
    <t>In Excel 2003, the file extension .xls works with VBA or without VBA.</t>
  </si>
  <si>
    <t>Must show Developer Ribbon: Right-click ribbon, Customize Ribbon, check box for Developer tab.</t>
  </si>
  <si>
    <t>To turn on the Macro Recorder use the "Record Macro button in the Code group in the Developer Ribbon (or the Record Macro button on the left side of the Status Bar).</t>
  </si>
  <si>
    <t>Be sure to Turn off the Macro Recorder when you are done</t>
  </si>
  <si>
    <t>Relative Macros record Relative movement of the selected cell (OFFSET function..</t>
  </si>
  <si>
    <t>Absolute Macros record Absolute movement of the selected cell (RANGE function).</t>
  </si>
  <si>
    <t>The "Use Relative Reference" button in the Code Group in the Developer Ribbon. The "Use Relative Reference" button is a toggle that toggles between Absolution and Relative References.  When the button is yellow/orange in color, the Marco is recording Relative Cell References in the Macro. When it is not yellow/orange, it is recording Absolute References.</t>
  </si>
  <si>
    <t>You must also set the security level in the Code Group in the Developer Ribbon to "Disable all Macros with notification"; then each time you open the workbook, click the "Options" button that appears when you open the workbook, then click "Enable".</t>
  </si>
  <si>
    <t>Keyboards:</t>
  </si>
  <si>
    <t>Alt + F11: opens VBA Editor Window so you can write code.</t>
  </si>
  <si>
    <t>In the VBA editor:
Left side shows: 1) "Project Explorer" (Ctrl + R), which sows objects such as Workbook, Worksheets and Modules (Macros). 2) Properties (F4 key)</t>
  </si>
  <si>
    <t>If you copy code from internet, when you are in VBA editor, Alt I + P, name Macro, Paste Code on right side, go  back to Excel, Alt + F8 to open Macro List, Select Macro, click Options, assign keyboard shortcut</t>
  </si>
  <si>
    <t>Alt + F8: Opens list of macros you can run. You can select a Macro and then click the Edit button to see the code that the Macro recorder recorded. Use "Options" button toassign a keyboard.</t>
  </si>
  <si>
    <t>Where to store your Macro:</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</si>
  <si>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</si>
  <si>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t>
  </si>
  <si>
    <t>Client</t>
  </si>
  <si>
    <t>Begin Asset</t>
  </si>
  <si>
    <t>End Asset</t>
  </si>
  <si>
    <t>Audrey  Davis</t>
  </si>
  <si>
    <t>Kay  Stokes</t>
  </si>
  <si>
    <t>Irene  Greene</t>
  </si>
  <si>
    <t>Tim  Gordon</t>
  </si>
  <si>
    <t>Darnell  Porter</t>
  </si>
  <si>
    <t>Irma  Boone</t>
  </si>
  <si>
    <t>Bertha  Montgomery</t>
  </si>
  <si>
    <t>Jeanne  Gray</t>
  </si>
  <si>
    <t>Lorene  Mason</t>
  </si>
  <si>
    <t>Marcos  Lee</t>
  </si>
  <si>
    <t>Sue  Owen</t>
  </si>
  <si>
    <t>Raquel  Hamilton</t>
  </si>
  <si>
    <t>Katrina  Bowman</t>
  </si>
  <si>
    <t>Helen  Byrd</t>
  </si>
  <si>
    <t>Ebony  Anderson</t>
  </si>
  <si>
    <t>Christy  Griffith</t>
  </si>
  <si>
    <t>Jenny  Fields</t>
  </si>
  <si>
    <t>Juan  Hunt</t>
  </si>
  <si>
    <t>Dixie  Barnett</t>
  </si>
  <si>
    <t>Antoinette  Crawford</t>
  </si>
  <si>
    <t>First</t>
  </si>
  <si>
    <t>Last</t>
  </si>
  <si>
    <t>Address</t>
  </si>
  <si>
    <t>City</t>
  </si>
  <si>
    <t>State</t>
  </si>
  <si>
    <t>Zip</t>
  </si>
  <si>
    <t>Phone</t>
  </si>
  <si>
    <t>E1</t>
  </si>
  <si>
    <t>E2</t>
  </si>
  <si>
    <t>Steve</t>
  </si>
  <si>
    <t>Chin</t>
  </si>
  <si>
    <t>14 17th St.</t>
  </si>
  <si>
    <t>Seattle</t>
  </si>
  <si>
    <t>WA</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</si>
  <si>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</si>
  <si>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</si>
  <si>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</si>
  <si>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</si>
  <si>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</si>
  <si>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</si>
  <si>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</si>
  <si>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</si>
  <si>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</si>
  <si>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</si>
  <si>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</si>
  <si>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</si>
  <si>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</si>
  <si>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</si>
  <si>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</si>
  <si>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</si>
  <si>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</si>
  <si>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</si>
  <si>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</si>
  <si>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</si>
  <si>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</si>
  <si>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</si>
  <si>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</si>
  <si>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</si>
  <si>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</si>
  <si>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</si>
  <si>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</si>
  <si>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</si>
  <si>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</si>
  <si>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</si>
  <si>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</si>
  <si>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Rad</t>
  </si>
  <si>
    <t>3 16th St.</t>
  </si>
  <si>
    <t>206-599-3338</t>
  </si>
  <si>
    <t>Dap</t>
  </si>
  <si>
    <t>5 19th St.</t>
  </si>
  <si>
    <t>206-679-1485</t>
  </si>
  <si>
    <t>Gupis</t>
  </si>
  <si>
    <t>6 17th St.</t>
  </si>
  <si>
    <t>206-609-1507</t>
  </si>
  <si>
    <t>Summi</t>
  </si>
  <si>
    <t>4 14th St.</t>
  </si>
  <si>
    <t>206-733-4318</t>
  </si>
  <si>
    <t>Fun</t>
  </si>
  <si>
    <t>7 15th St.</t>
  </si>
  <si>
    <t>206-691-7629</t>
  </si>
  <si>
    <t>Numbers</t>
  </si>
  <si>
    <t>Words</t>
  </si>
  <si>
    <t>Add</t>
  </si>
  <si>
    <t>Color</t>
  </si>
  <si>
    <t>Update:</t>
  </si>
  <si>
    <t>Ctrl + Shift + Alt + F9</t>
  </si>
  <si>
    <t>1) If you have repetitive tasks that you want to automate (like formatting a month report).</t>
  </si>
  <si>
    <t>2) There are some things you want to do (like have a function spell out a word), that the commands in the ribbons can't do.</t>
  </si>
  <si>
    <t>Customer</t>
  </si>
  <si>
    <t>Date</t>
  </si>
  <si>
    <t>Product</t>
  </si>
  <si>
    <t>Sales</t>
  </si>
  <si>
    <t>SeaTac BMX</t>
  </si>
  <si>
    <t>Quad</t>
  </si>
  <si>
    <t>1)    Absolute Reference Macro: Format report that always has the same number of columns and rows</t>
  </si>
  <si>
    <t>2)    Absolute &amp; Relative Reference Macro: Format report that that has an unknown number of rows</t>
  </si>
  <si>
    <t>3)    Relative Reference Macro to convert vertical records into a proper data set with horizontal records</t>
  </si>
  <si>
    <t>4)    Search for VBA Code online: Function to spell out numbers as words</t>
  </si>
  <si>
    <t>5)    Search for VBA Code online: Add or count cells with red fill</t>
  </si>
  <si>
    <t>6)    Form Control Button to Add Record to Existing Proper Data Set</t>
  </si>
  <si>
    <t>Short Notes:</t>
  </si>
  <si>
    <t>Show Developer Ribbon</t>
  </si>
  <si>
    <t>You click the Macro Record Button and as you do stuff in Excel it writes code for you.</t>
  </si>
  <si>
    <t>Relative / Absolute Button:</t>
  </si>
  <si>
    <t>Turn on Macro Recorder</t>
  </si>
  <si>
    <t>Highline Excel 2016 Class Video 26: Macro Recorder Basics</t>
  </si>
  <si>
    <t>Automate repetitive tasks</t>
  </si>
  <si>
    <t>Accomplish task where there is no built-in feature to accomplish task</t>
  </si>
  <si>
    <r>
      <t xml:space="preserve">Must use </t>
    </r>
    <r>
      <rPr>
        <b/>
        <sz val="11"/>
        <color theme="1"/>
        <rFont val="Calibri"/>
        <family val="2"/>
        <scheme val="minor"/>
      </rPr>
      <t>.xlsm</t>
    </r>
    <r>
      <rPr>
        <sz val="11"/>
        <color theme="1"/>
        <rFont val="Calibri"/>
        <family val="2"/>
        <scheme val="minor"/>
      </rPr>
      <t xml:space="preserve"> (m means Macro)</t>
    </r>
  </si>
  <si>
    <r>
      <t xml:space="preserve">Macro = </t>
    </r>
    <r>
      <rPr>
        <b/>
        <sz val="11"/>
        <color theme="1"/>
        <rFont val="Calibri"/>
        <family val="2"/>
        <scheme val="minor"/>
      </rPr>
      <t>Code</t>
    </r>
    <r>
      <rPr>
        <sz val="11"/>
        <color theme="1"/>
        <rFont val="Calibri"/>
        <family val="2"/>
        <scheme val="minor"/>
      </rPr>
      <t xml:space="preserve"> = VBA (Visual Basic Application) = you can type it out or use "Macro Recorder"</t>
    </r>
  </si>
  <si>
    <r>
      <rPr>
        <b/>
        <sz val="11"/>
        <color theme="1"/>
        <rFont val="Calibri"/>
        <family val="2"/>
        <scheme val="minor"/>
      </rPr>
      <t>Macro Recorder is like tape recorder</t>
    </r>
    <r>
      <rPr>
        <sz val="11"/>
        <color theme="1"/>
        <rFont val="Calibri"/>
        <family val="2"/>
        <scheme val="minor"/>
      </rPr>
      <t>:</t>
    </r>
  </si>
  <si>
    <r>
      <t xml:space="preserve">Using </t>
    </r>
    <r>
      <rPr>
        <b/>
        <sz val="11"/>
        <color theme="1"/>
        <rFont val="Calibri"/>
        <family val="2"/>
        <scheme val="minor"/>
      </rPr>
      <t>code is good for two basic reasons</t>
    </r>
    <r>
      <rPr>
        <sz val="11"/>
        <color theme="1"/>
        <rFont val="Calibri"/>
        <family val="2"/>
        <scheme val="minor"/>
      </rPr>
      <t>:</t>
    </r>
  </si>
  <si>
    <r>
      <rPr>
        <b/>
        <sz val="11"/>
        <color theme="1"/>
        <rFont val="Calibri"/>
        <family val="2"/>
        <scheme val="minor"/>
      </rPr>
      <t>Security Level</t>
    </r>
    <r>
      <rPr>
        <sz val="11"/>
        <color theme="1"/>
        <rFont val="Calibri"/>
        <family val="2"/>
        <scheme val="minor"/>
      </rPr>
      <t>: "Disable all Macros with notification"</t>
    </r>
  </si>
  <si>
    <r>
      <rPr>
        <b/>
        <sz val="11"/>
        <color theme="1"/>
        <rFont val="Calibri"/>
        <family val="2"/>
        <scheme val="minor"/>
      </rPr>
      <t>Keyboards</t>
    </r>
    <r>
      <rPr>
        <sz val="11"/>
        <color theme="1"/>
        <rFont val="Calibri"/>
        <family val="2"/>
        <scheme val="minor"/>
      </rPr>
      <t>: 1) Alt + F11 (VBA Editor)     2) Alt + F8 (list of Macros)</t>
    </r>
  </si>
  <si>
    <r>
      <rPr>
        <b/>
        <sz val="11"/>
        <color theme="1"/>
        <rFont val="Calibri"/>
        <family val="2"/>
        <scheme val="minor"/>
      </rPr>
      <t>Store Macro</t>
    </r>
    <r>
      <rPr>
        <sz val="11"/>
        <color theme="1"/>
        <rFont val="Calibri"/>
        <family val="2"/>
        <scheme val="minor"/>
      </rPr>
      <t>: if you store in Personal you can use Macro anytime you use the Excel on your computer</t>
    </r>
  </si>
  <si>
    <t>Change</t>
  </si>
  <si>
    <t>% Change</t>
  </si>
  <si>
    <t>Ngoc</t>
  </si>
  <si>
    <t>Thach</t>
  </si>
  <si>
    <t>TextBook</t>
  </si>
  <si>
    <t>Toys</t>
  </si>
  <si>
    <t>thach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</si>
</sst>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3" formatCode="_(* #,##0.00_);_(* \(#,##0.00\);_(* &quot;-&quot;??_);_(@_)"/>
    <numFmt numFmtId="164" formatCode="_(* #,##0_);_(* \(#,##0\);_(* &quot;-&quot;??_);_(@_)"/>
  </numFmts>
  <fonts count="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b/>
      <sz val="18"/>
      <color rgb="FFFF0000"/>
      <name val="Calibri"/>
      <family val="2"/>
      <scheme val="minor"/>
    </font>
    <font>
      <sz val="11"/>
      <name val="Calibri"/>
      <family val="2"/>
      <scheme val="minor"/>
    </font>
    <font>
      <b/>
      <sz val="10"/>
      <color theme="0"/>
      <name val="Arial"/>
      <family val="2"/>
    </font>
  </fonts>
  <fills count="8">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66"/>
        <bgColor indexed="64"/>
      </patternFill>
    </fill>
    <fill>
      <patternFill patternType="solid">
        <fgColor rgb="FFFFFF99"/>
        <bgColor indexed="64"/>
      </patternFill>
    </fill>
    <fill>
      <patternFill patternType="solid">
        <fgColor rgb="FFCCFFCC"/>
        <bgColor indexed="64"/>
      </patternFill>
    </fill>
    <fill>
      <patternFill patternType="solid">
        <fgColor rgb="FFFFFF00"/>
        <bgColor indexed="64"/>
      </patternFill>
    </fill>
  </fills>
  <borders count="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4" fillId="2" borderId="1" applyBorder="0">
      <alignment horizontal="centerContinuous" wrapText="1"/>
    </xf>
  </cellStyleXfs>
  <cellXfs count="38">
    <xf numFmtId="0" fontId="0" fillId="0" borderId="0" xfId="0"/>
    <xf numFmtId="0" fontId="4" fillId="2" borderId="2" xfId="2" applyBorder="1">
      <alignment horizontal="centerContinuous" wrapText="1"/>
    </xf>
    <xf numFmtId="0" fontId="0" fillId="0" borderId="2" xfId="0" applyBorder="1"/>
    <xf numFmtId="0" fontId="2" fillId="0" borderId="0" xfId="0" applyFont="1"/>
    <xf numFmtId="0" fontId="3" fillId="2" borderId="2" xfId="0" applyFont="1" applyFill="1" applyBorder="1"/>
    <xf numFmtId="0" fontId="4" fillId="2" borderId="0" xfId="2" applyBorder="1">
      <alignment horizontal="centerContinuous" wrapText="1"/>
    </xf>
    <xf numFmtId="0" fontId="0" fillId="6" borderId="2" xfId="0" applyFill="1" applyBorder="1"/>
    <xf numFmtId="0" fontId="3" fillId="3" borderId="2" xfId="0" applyFont="1" applyFill="1" applyBorder="1"/>
    <xf numFmtId="0" fontId="0" fillId="7" borderId="2" xfId="0" applyFill="1" applyBorder="1"/>
    <xf numFmtId="0" fontId="5" fillId="0" borderId="0" xfId="0" applyFont="1"/>
    <xf numFmtId="0" fontId="0" fillId="0" borderId="0" xfId="0" applyFont="1"/>
    <xf numFmtId="0" fontId="0" fillId="4" borderId="2" xfId="0" applyFont="1" applyFill="1" applyBorder="1"/>
    <xf numFmtId="0" fontId="0" fillId="5" borderId="2" xfId="0" applyFont="1" applyFill="1" applyBorder="1"/>
    <xf numFmtId="0" fontId="0" fillId="5" borderId="2" xfId="0" applyFont="1" applyFill="1" applyBorder="1" applyAlignment="1">
      <alignment horizontal="left" indent="1"/>
    </xf>
    <xf numFmtId="0" fontId="0" fillId="5" borderId="2" xfId="0" applyFont="1" applyFill="1" applyBorder="1" applyAlignment="1">
      <alignment horizontal="left" indent="3"/>
    </xf>
    <xf numFmtId="0" fontId="0" fillId="5" borderId="2" xfId="0" applyFont="1" applyFill="1" applyBorder="1" applyAlignment="1">
      <alignment horizontal="left" indent="2"/>
    </xf>
    <xf numFmtId="0" fontId="0" fillId="4" borderId="2" xfId="0" applyFont="1" applyFill="1" applyBorder="1" applyAlignment="1">
      <alignment wrapText="1"/>
    </xf>
    <xf numFmtId="0" fontId="0" fillId="5" borderId="2" xfId="0" applyFont="1" applyFill="1" applyBorder="1" applyAlignment="1">
      <alignment horizontal="left" wrapText="1" indent="1"/>
    </xf>
    <xf numFmtId="0" fontId="0" fillId="4" borderId="2" xfId="0" applyFont="1" applyFill="1" applyBorder="1" applyAlignment="1">
      <alignment horizontal="left" wrapText="1"/>
    </xf>
    <xf numFmtId="0" fontId="6" fillId="4" borderId="2" xfId="0" applyFont="1" applyFill="1" applyBorder="1" applyAlignment="1">
      <alignment horizontal="left"/>
    </xf>
    <xf numFmtId="0" fontId="6" fillId="5" borderId="2" xfId="0" applyFont="1" applyFill="1" applyBorder="1" applyAlignment="1">
      <alignment horizontal="left" indent="1"/>
    </xf>
    <xf numFmtId="0" fontId="6" fillId="4" borderId="2" xfId="0" applyFont="1" applyFill="1" applyBorder="1" applyAlignment="1">
      <alignment horizontal="left" wrapText="1"/>
    </xf>
    <xf numFmtId="0" fontId="6" fillId="5" borderId="2" xfId="0" applyFont="1" applyFill="1" applyBorder="1" applyAlignment="1">
      <alignment horizontal="left" wrapText="1" indent="1"/>
    </xf>
    <xf numFmtId="0" fontId="6" fillId="5" borderId="2" xfId="0" applyFont="1" applyFill="1" applyBorder="1" applyAlignment="1">
      <alignment horizontal="left" wrapText="1" indent="2"/>
    </xf>
    <xf numFmtId="0" fontId="7" fillId="2" borderId="2" xfId="0" applyFont="1" applyFill="1" applyBorder="1"/>
    <xf numFmtId="14" fontId="0" fillId="0" borderId="2" xfId="0" applyNumberFormat="1" applyBorder="1"/>
    <xf numFmtId="8" fontId="0" fillId="0" borderId="2" xfId="0" applyNumberFormat="1" applyBorder="1"/>
    <xf numFmtId="0" fontId="0" fillId="0" borderId="2" xfId="0" applyBorder="1" applyAlignment="1">
      <alignment horizontal="left"/>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xf>
    <xf numFmtId="0" fontId="2" fillId="0" borderId="0" xfId="0" applyFont="1" applyAlignment="1">
      <alignment horizontal="left"/>
    </xf>
    <xf numFmtId="0" fontId="3" fillId="3" borderId="1" xfId="0" applyFont="1" applyFill="1" applyBorder="1" applyAlignment="1">
      <alignment horizontal="center" wrapText="1"/>
    </xf>
    <xf numFmtId="0" fontId="3" fillId="3" borderId="3" xfId="0" applyFont="1" applyFill="1" applyBorder="1" applyAlignment="1">
      <alignment horizontal="center" wrapText="1"/>
    </xf>
    <xf numFmtId="0" fontId="2" fillId="0" borderId="2" xfId="0" applyFont="1" applyBorder="1"/>
    <xf numFmtId="164" fontId="0" fillId="0" borderId="2" xfId="1" applyNumberFormat="1" applyFont="1" applyBorder="1"/>
    <xf numFmtId="164" fontId="0" fillId="0" borderId="2" xfId="0" applyNumberFormat="1" applyBorder="1"/>
    <xf numFmtId="164" fontId="2" fillId="0" borderId="2" xfId="0" applyNumberFormat="1" applyFont="1" applyBorder="1"/>
  </cellXfs>
  <cellStyles count="3">
    <cellStyle name="BlueTitle" xfId="2" xr:uid="{00000000-0005-0000-0000-000000000000}"/>
    <cellStyle name="Comma" xfId="1" builtinId="3"/>
    <cellStyle name="Normal" xfId="0" builtinId="0"/>
  </cellStyles>
  <dxfs count="19">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202406</xdr:colOff>
          <xdr:row>3</xdr:row>
          <xdr:rowOff>28575</xdr:rowOff>
        </xdr:from>
        <xdr:to>
          <xdr:col>2</xdr:col>
          <xdr:colOff>516731</xdr:colOff>
          <xdr:row>5</xdr:row>
          <xdr:rowOff>95250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F7B69BD2-8D91-473C-9DD6-6D454281FBF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Record To ProperDataSet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A26"/>
  <sheetViews>
    <sheetView zoomScale="130" zoomScaleNormal="130" workbookViewId="0">
      <selection activeCell="A6" sqref="A6"/>
    </sheetView>
  </sheetViews>
  <sheetFormatPr defaultRowHeight="15" x14ac:dyDescent="0.25"/>
  <cols>
    <col min="1" max="1" width="86.85546875" customWidth="1"/>
  </cols>
  <sheetData>
    <row r="1" spans="1:1" ht="23.25" x14ac:dyDescent="0.35">
      <c r="A1" s="9" t="s">
        <v>139</v>
      </c>
    </row>
    <row r="3" spans="1:1" ht="15.75" x14ac:dyDescent="0.25">
      <c r="A3" s="1" t="s">
        <v>0</v>
      </c>
    </row>
    <row r="4" spans="1:1" x14ac:dyDescent="0.25">
      <c r="A4" s="2" t="s">
        <v>128</v>
      </c>
    </row>
    <row r="5" spans="1:1" x14ac:dyDescent="0.25">
      <c r="A5" s="2" t="s">
        <v>129</v>
      </c>
    </row>
    <row r="6" spans="1:1" x14ac:dyDescent="0.25">
      <c r="A6" s="2" t="s">
        <v>130</v>
      </c>
    </row>
    <row r="7" spans="1:1" x14ac:dyDescent="0.25">
      <c r="A7" s="2" t="s">
        <v>131</v>
      </c>
    </row>
    <row r="8" spans="1:1" x14ac:dyDescent="0.25">
      <c r="A8" s="27" t="s">
        <v>132</v>
      </c>
    </row>
    <row r="9" spans="1:1" x14ac:dyDescent="0.25">
      <c r="A9" s="27" t="s">
        <v>133</v>
      </c>
    </row>
    <row r="11" spans="1:1" ht="15.75" x14ac:dyDescent="0.25">
      <c r="A11" s="1" t="s">
        <v>134</v>
      </c>
    </row>
    <row r="12" spans="1:1" x14ac:dyDescent="0.25">
      <c r="A12" t="s">
        <v>143</v>
      </c>
    </row>
    <row r="13" spans="1:1" x14ac:dyDescent="0.25">
      <c r="A13" s="3" t="s">
        <v>135</v>
      </c>
    </row>
    <row r="14" spans="1:1" x14ac:dyDescent="0.25">
      <c r="A14" t="s">
        <v>142</v>
      </c>
    </row>
    <row r="15" spans="1:1" x14ac:dyDescent="0.25">
      <c r="A15" t="s">
        <v>144</v>
      </c>
    </row>
    <row r="16" spans="1:1" x14ac:dyDescent="0.25">
      <c r="A16" s="29" t="s">
        <v>136</v>
      </c>
    </row>
    <row r="17" spans="1:1" x14ac:dyDescent="0.25">
      <c r="A17" t="s">
        <v>145</v>
      </c>
    </row>
    <row r="18" spans="1:1" x14ac:dyDescent="0.25">
      <c r="A18" s="28" t="s">
        <v>140</v>
      </c>
    </row>
    <row r="19" spans="1:1" x14ac:dyDescent="0.25">
      <c r="A19" s="28" t="s">
        <v>141</v>
      </c>
    </row>
    <row r="20" spans="1:1" x14ac:dyDescent="0.25">
      <c r="A20" s="3" t="s">
        <v>137</v>
      </c>
    </row>
    <row r="21" spans="1:1" x14ac:dyDescent="0.25">
      <c r="A21" s="28" t="s">
        <v>19</v>
      </c>
    </row>
    <row r="22" spans="1:1" x14ac:dyDescent="0.25">
      <c r="A22" s="28" t="s">
        <v>20</v>
      </c>
    </row>
    <row r="23" spans="1:1" x14ac:dyDescent="0.25">
      <c r="A23" s="31" t="s">
        <v>138</v>
      </c>
    </row>
    <row r="24" spans="1:1" x14ac:dyDescent="0.25">
      <c r="A24" s="30" t="s">
        <v>146</v>
      </c>
    </row>
    <row r="25" spans="1:1" x14ac:dyDescent="0.25">
      <c r="A25" s="30" t="s">
        <v>147</v>
      </c>
    </row>
    <row r="26" spans="1:1" x14ac:dyDescent="0.25">
      <c r="A26" s="30" t="s">
        <v>148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B32"/>
  <sheetViews>
    <sheetView zoomScale="115" zoomScaleNormal="115" workbookViewId="0">
      <selection activeCell="B13" sqref="B13"/>
    </sheetView>
  </sheetViews>
  <sheetFormatPr defaultRowHeight="15" x14ac:dyDescent="0.25"/>
  <cols>
    <col min="1" max="1" width="9.140625" style="10"/>
    <col min="2" max="2" width="107" style="10" customWidth="1"/>
    <col min="3" max="16384" width="9.140625" style="10"/>
  </cols>
  <sheetData>
    <row r="1" spans="1:2" ht="15" customHeight="1" x14ac:dyDescent="0.25">
      <c r="A1" s="32" t="s">
        <v>1</v>
      </c>
      <c r="B1" s="33"/>
    </row>
    <row r="2" spans="1:2" x14ac:dyDescent="0.25">
      <c r="A2" s="11" t="str">
        <f>COUNTA(A$1:A1)&amp;")"</f>
        <v>1)</v>
      </c>
      <c r="B2" s="19" t="s">
        <v>2</v>
      </c>
    </row>
    <row r="3" spans="1:2" x14ac:dyDescent="0.25">
      <c r="A3" s="12"/>
      <c r="B3" s="20" t="s">
        <v>3</v>
      </c>
    </row>
    <row r="4" spans="1:2" x14ac:dyDescent="0.25">
      <c r="A4" s="12"/>
      <c r="B4" s="13" t="s">
        <v>4</v>
      </c>
    </row>
    <row r="5" spans="1:2" x14ac:dyDescent="0.25">
      <c r="A5" s="11" t="str">
        <f>COUNTA(A$1:A4)&amp;")"</f>
        <v>2)</v>
      </c>
      <c r="B5" s="11" t="s">
        <v>8</v>
      </c>
    </row>
    <row r="6" spans="1:2" x14ac:dyDescent="0.25">
      <c r="A6" s="12"/>
      <c r="B6" s="13" t="s">
        <v>9</v>
      </c>
    </row>
    <row r="7" spans="1:2" x14ac:dyDescent="0.25">
      <c r="A7" s="12"/>
      <c r="B7" s="15" t="s">
        <v>10</v>
      </c>
    </row>
    <row r="8" spans="1:2" x14ac:dyDescent="0.25">
      <c r="A8" s="12"/>
      <c r="B8" s="15" t="s">
        <v>11</v>
      </c>
    </row>
    <row r="9" spans="1:2" x14ac:dyDescent="0.25">
      <c r="A9" s="11" t="str">
        <f>COUNTA(A$1:A8)&amp;")"</f>
        <v>3)</v>
      </c>
      <c r="B9" s="11" t="s">
        <v>5</v>
      </c>
    </row>
    <row r="10" spans="1:2" x14ac:dyDescent="0.25">
      <c r="A10" s="12"/>
      <c r="B10" s="13" t="s">
        <v>120</v>
      </c>
    </row>
    <row r="11" spans="1:2" x14ac:dyDescent="0.25">
      <c r="A11" s="12"/>
      <c r="B11" s="14" t="s">
        <v>6</v>
      </c>
    </row>
    <row r="12" spans="1:2" x14ac:dyDescent="0.25">
      <c r="A12" s="12"/>
      <c r="B12" s="13" t="s">
        <v>121</v>
      </c>
    </row>
    <row r="13" spans="1:2" x14ac:dyDescent="0.25">
      <c r="A13" s="12"/>
      <c r="B13" s="14" t="s">
        <v>7</v>
      </c>
    </row>
    <row r="14" spans="1:2" x14ac:dyDescent="0.25">
      <c r="A14" s="11" t="str">
        <f>COUNTA(A$1:A13)&amp;")"</f>
        <v>4)</v>
      </c>
      <c r="B14" s="21" t="s">
        <v>12</v>
      </c>
    </row>
    <row r="15" spans="1:2" x14ac:dyDescent="0.25">
      <c r="A15" s="12"/>
      <c r="B15" s="13" t="s">
        <v>13</v>
      </c>
    </row>
    <row r="16" spans="1:2" x14ac:dyDescent="0.25">
      <c r="A16" s="12"/>
      <c r="B16" s="13" t="s">
        <v>14</v>
      </c>
    </row>
    <row r="17" spans="1:2" x14ac:dyDescent="0.25">
      <c r="A17" s="12"/>
      <c r="B17" s="22" t="s">
        <v>15</v>
      </c>
    </row>
    <row r="18" spans="1:2" x14ac:dyDescent="0.25">
      <c r="A18" s="11" t="str">
        <f>COUNTA(A$1:A17)&amp;")"</f>
        <v>5)</v>
      </c>
      <c r="B18" s="21" t="s">
        <v>16</v>
      </c>
    </row>
    <row r="19" spans="1:2" ht="30" x14ac:dyDescent="0.25">
      <c r="A19" s="12"/>
      <c r="B19" s="22" t="s">
        <v>17</v>
      </c>
    </row>
    <row r="20" spans="1:2" x14ac:dyDescent="0.25">
      <c r="A20" s="12"/>
      <c r="B20" s="22" t="s">
        <v>18</v>
      </c>
    </row>
    <row r="21" spans="1:2" x14ac:dyDescent="0.25">
      <c r="A21" s="12"/>
      <c r="B21" s="13" t="s">
        <v>19</v>
      </c>
    </row>
    <row r="22" spans="1:2" x14ac:dyDescent="0.25">
      <c r="A22" s="12"/>
      <c r="B22" s="13" t="s">
        <v>20</v>
      </c>
    </row>
    <row r="23" spans="1:2" ht="60" x14ac:dyDescent="0.25">
      <c r="A23" s="12"/>
      <c r="B23" s="22" t="s">
        <v>21</v>
      </c>
    </row>
    <row r="24" spans="1:2" ht="45" x14ac:dyDescent="0.25">
      <c r="A24" s="12"/>
      <c r="B24" s="22" t="s">
        <v>22</v>
      </c>
    </row>
    <row r="25" spans="1:2" x14ac:dyDescent="0.25">
      <c r="A25" s="11" t="str">
        <f>COUNTA(A$1:A24)&amp;")"</f>
        <v>6)</v>
      </c>
      <c r="B25" s="16" t="s">
        <v>23</v>
      </c>
    </row>
    <row r="26" spans="1:2" x14ac:dyDescent="0.25">
      <c r="A26" s="12"/>
      <c r="B26" s="13" t="s">
        <v>24</v>
      </c>
    </row>
    <row r="27" spans="1:2" ht="45" x14ac:dyDescent="0.25">
      <c r="A27" s="12"/>
      <c r="B27" s="23" t="s">
        <v>25</v>
      </c>
    </row>
    <row r="28" spans="1:2" ht="30" x14ac:dyDescent="0.25">
      <c r="A28" s="12"/>
      <c r="B28" s="23" t="s">
        <v>26</v>
      </c>
    </row>
    <row r="29" spans="1:2" ht="30" x14ac:dyDescent="0.25">
      <c r="A29" s="12"/>
      <c r="B29" s="17" t="s">
        <v>27</v>
      </c>
    </row>
    <row r="30" spans="1:2" x14ac:dyDescent="0.25">
      <c r="A30" s="11" t="str">
        <f>COUNTA(A$1:A29)&amp;")"</f>
        <v>7)</v>
      </c>
      <c r="B30" s="18" t="s">
        <v>28</v>
      </c>
    </row>
    <row r="31" spans="1:2" x14ac:dyDescent="0.25">
      <c r="A31" s="12"/>
      <c r="B31" s="22" t="s">
        <v>29</v>
      </c>
    </row>
    <row r="32" spans="1:2" ht="45" x14ac:dyDescent="0.25">
      <c r="A32" s="12"/>
      <c r="B32" s="22" t="s">
        <v>30</v>
      </c>
    </row>
  </sheetData>
  <mergeCells count="1">
    <mergeCell ref="A1:B1"/>
  </mergeCells>
  <conditionalFormatting sqref="B24">
    <cfRule type="expression" priority="1" stopIfTrue="1">
      <formula>AND(#REF!&lt;&gt;"",#REF!&lt;&gt;"")</formula>
    </cfRule>
    <cfRule type="expression" dxfId="18" priority="2" stopIfTrue="1">
      <formula>#REF!&lt;&gt;""</formula>
    </cfRule>
  </conditionalFormatting>
  <conditionalFormatting sqref="A1 B9:B13 B5">
    <cfRule type="expression" dxfId="17" priority="5" stopIfTrue="1">
      <formula>$D1&lt;&gt;""</formula>
    </cfRule>
  </conditionalFormatting>
  <conditionalFormatting sqref="B7:B8">
    <cfRule type="expression" dxfId="16" priority="6" stopIfTrue="1">
      <formula>$D6&lt;&gt;""</formula>
    </cfRule>
  </conditionalFormatting>
  <conditionalFormatting sqref="B2:B3">
    <cfRule type="expression" priority="7" stopIfTrue="1">
      <formula>AND(#REF!&lt;&gt;"",$D9&lt;&gt;"")</formula>
    </cfRule>
    <cfRule type="expression" dxfId="15" priority="8" stopIfTrue="1">
      <formula>#REF!&lt;&gt;""</formula>
    </cfRule>
  </conditionalFormatting>
  <conditionalFormatting sqref="B31">
    <cfRule type="expression" priority="9" stopIfTrue="1">
      <formula>AND($D29&lt;&gt;"",$D30&lt;&gt;"")</formula>
    </cfRule>
    <cfRule type="expression" dxfId="14" priority="10" stopIfTrue="1">
      <formula>$D29&lt;&gt;""</formula>
    </cfRule>
  </conditionalFormatting>
  <conditionalFormatting sqref="B15:B16">
    <cfRule type="expression" dxfId="13" priority="11" stopIfTrue="1">
      <formula>#REF!&lt;&gt;""</formula>
    </cfRule>
  </conditionalFormatting>
  <conditionalFormatting sqref="B22">
    <cfRule type="expression" dxfId="12" priority="12" stopIfTrue="1">
      <formula>$D26&lt;&gt;""</formula>
    </cfRule>
  </conditionalFormatting>
  <conditionalFormatting sqref="B26">
    <cfRule type="expression" dxfId="11" priority="13" stopIfTrue="1">
      <formula>$D15&lt;&gt;""</formula>
    </cfRule>
  </conditionalFormatting>
  <conditionalFormatting sqref="B4 B21">
    <cfRule type="expression" dxfId="10" priority="14" stopIfTrue="1">
      <formula>$D2&lt;&gt;""</formula>
    </cfRule>
  </conditionalFormatting>
  <conditionalFormatting sqref="B29:B30">
    <cfRule type="expression" dxfId="9" priority="15" stopIfTrue="1">
      <formula>$D18&lt;&gt;""</formula>
    </cfRule>
  </conditionalFormatting>
  <conditionalFormatting sqref="B19:B20">
    <cfRule type="expression" priority="3" stopIfTrue="1">
      <formula>AND($D19&lt;&gt;"",$D20&lt;&gt;"")</formula>
    </cfRule>
    <cfRule type="expression" dxfId="8" priority="4" stopIfTrue="1">
      <formula>$D19&lt;&gt;""</formula>
    </cfRule>
  </conditionalFormatting>
  <conditionalFormatting sqref="B18">
    <cfRule type="expression" priority="16" stopIfTrue="1">
      <formula>AND(#REF!&lt;&gt;"",#REF!&lt;&gt;"")</formula>
    </cfRule>
    <cfRule type="expression" dxfId="7" priority="17" stopIfTrue="1">
      <formula>#REF!&lt;&gt;""</formula>
    </cfRule>
  </conditionalFormatting>
  <conditionalFormatting sqref="B14">
    <cfRule type="expression" priority="18" stopIfTrue="1">
      <formula>AND(#REF!&lt;&gt;"",#REF!&lt;&gt;"")</formula>
    </cfRule>
    <cfRule type="expression" dxfId="6" priority="19" stopIfTrue="1">
      <formula>#REF!&lt;&gt;""</formula>
    </cfRule>
  </conditionalFormatting>
  <conditionalFormatting sqref="B17">
    <cfRule type="expression" priority="20" stopIfTrue="1">
      <formula>AND(#REF!&lt;&gt;"",#REF!&lt;&gt;"")</formula>
    </cfRule>
    <cfRule type="expression" dxfId="5" priority="21" stopIfTrue="1">
      <formula>#REF!&lt;&gt;""</formula>
    </cfRule>
  </conditionalFormatting>
  <conditionalFormatting sqref="B23">
    <cfRule type="expression" priority="22" stopIfTrue="1">
      <formula>AND(#REF!&lt;&gt;"",#REF!&lt;&gt;"")</formula>
    </cfRule>
    <cfRule type="expression" dxfId="4" priority="23" stopIfTrue="1">
      <formula>#REF!&lt;&gt;""</formula>
    </cfRule>
  </conditionalFormatting>
  <conditionalFormatting sqref="B32">
    <cfRule type="expression" priority="24" stopIfTrue="1">
      <formula>AND($D30&lt;&gt;"",#REF!&lt;&gt;"")</formula>
    </cfRule>
    <cfRule type="expression" dxfId="3" priority="25" stopIfTrue="1">
      <formula>$D30&lt;&gt;""</formula>
    </cfRule>
  </conditionalFormatting>
  <conditionalFormatting sqref="B27">
    <cfRule type="expression" priority="26" stopIfTrue="1">
      <formula>AND($D31&lt;&gt;"",$D32&lt;&gt;"")</formula>
    </cfRule>
    <cfRule type="expression" dxfId="2" priority="27" stopIfTrue="1">
      <formula>$D31&lt;&gt;""</formula>
    </cfRule>
  </conditionalFormatting>
  <conditionalFormatting sqref="B28">
    <cfRule type="expression" priority="28" stopIfTrue="1">
      <formula>AND($D32&lt;&gt;"",$D33&lt;&gt;"")</formula>
    </cfRule>
    <cfRule type="expression" dxfId="1" priority="29" stopIfTrue="1">
      <formula>$D32&lt;&gt;""</formula>
    </cfRule>
  </conditionalFormatting>
  <conditionalFormatting sqref="B6">
    <cfRule type="expression" dxfId="0" priority="30" stopIfTrue="1">
      <formula>#REF!&lt;&gt;""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H11"/>
  <sheetViews>
    <sheetView zoomScale="130" zoomScaleNormal="130" workbookViewId="0">
      <selection activeCell="F1" sqref="F1"/>
    </sheetView>
  </sheetViews>
  <sheetFormatPr defaultColWidth="12.7109375" defaultRowHeight="15" x14ac:dyDescent="0.25"/>
  <sheetData>
    <row r="1" spans="1:8" x14ac:dyDescent="0.25">
      <c r="A1" s="34" t="s">
        <v>31</v>
      </c>
      <c r="B1" s="34" t="s">
        <v>32</v>
      </c>
      <c r="C1" s="34" t="s">
        <v>33</v>
      </c>
      <c r="D1" s="34" t="s">
        <v>149</v>
      </c>
      <c r="E1" s="34" t="s">
        <v>150</v>
      </c>
      <c r="H1" t="s">
        <v>128</v>
      </c>
    </row>
    <row r="2" spans="1:8" x14ac:dyDescent="0.25">
      <c r="A2" s="2" t="s">
        <v>34</v>
      </c>
      <c r="B2" s="35">
        <v>336811</v>
      </c>
      <c r="C2" s="35">
        <v>343547</v>
      </c>
      <c r="D2" s="36">
        <f>C2-B2</f>
        <v>6736</v>
      </c>
      <c r="E2" s="2">
        <f>D2/B2</f>
        <v>1.999934681468242E-2</v>
      </c>
    </row>
    <row r="3" spans="1:8" x14ac:dyDescent="0.25">
      <c r="A3" s="2" t="s">
        <v>35</v>
      </c>
      <c r="B3" s="35">
        <v>973876</v>
      </c>
      <c r="C3" s="35">
        <v>1149174</v>
      </c>
      <c r="D3" s="36">
        <f t="shared" ref="D3:D11" si="0">C3-B3</f>
        <v>175298</v>
      </c>
      <c r="E3" s="2">
        <f t="shared" ref="E3:E11" si="1">D3/B3</f>
        <v>0.18000032858392651</v>
      </c>
    </row>
    <row r="4" spans="1:8" x14ac:dyDescent="0.25">
      <c r="A4" s="2" t="s">
        <v>36</v>
      </c>
      <c r="B4" s="35">
        <v>112982</v>
      </c>
      <c r="C4" s="35">
        <v>115242</v>
      </c>
      <c r="D4" s="36">
        <f t="shared" si="0"/>
        <v>2260</v>
      </c>
      <c r="E4" s="2">
        <f t="shared" si="1"/>
        <v>2.0003186348267865E-2</v>
      </c>
    </row>
    <row r="5" spans="1:8" x14ac:dyDescent="0.25">
      <c r="A5" s="2" t="s">
        <v>37</v>
      </c>
      <c r="B5" s="35">
        <v>53374</v>
      </c>
      <c r="C5" s="35">
        <v>51773</v>
      </c>
      <c r="D5" s="36">
        <f t="shared" si="0"/>
        <v>-1601</v>
      </c>
      <c r="E5" s="2">
        <f t="shared" si="1"/>
        <v>-2.9995878142916026E-2</v>
      </c>
    </row>
    <row r="6" spans="1:8" x14ac:dyDescent="0.25">
      <c r="A6" s="2" t="s">
        <v>38</v>
      </c>
      <c r="B6" s="35">
        <v>322859</v>
      </c>
      <c r="C6" s="35">
        <v>339002</v>
      </c>
      <c r="D6" s="36">
        <f t="shared" si="0"/>
        <v>16143</v>
      </c>
      <c r="E6" s="2">
        <f t="shared" si="1"/>
        <v>5.000015486636581E-2</v>
      </c>
    </row>
    <row r="7" spans="1:8" x14ac:dyDescent="0.25">
      <c r="A7" s="2" t="s">
        <v>39</v>
      </c>
      <c r="B7" s="35">
        <v>987206</v>
      </c>
      <c r="C7" s="35">
        <v>957590</v>
      </c>
      <c r="D7" s="36">
        <f t="shared" si="0"/>
        <v>-29616</v>
      </c>
      <c r="E7" s="2">
        <f t="shared" si="1"/>
        <v>-2.9999817667234599E-2</v>
      </c>
    </row>
    <row r="8" spans="1:8" x14ac:dyDescent="0.25">
      <c r="A8" s="2" t="s">
        <v>40</v>
      </c>
      <c r="B8" s="35">
        <v>886223</v>
      </c>
      <c r="C8" s="35">
        <v>1001432</v>
      </c>
      <c r="D8" s="36">
        <f t="shared" si="0"/>
        <v>115209</v>
      </c>
      <c r="E8" s="2">
        <f t="shared" si="1"/>
        <v>0.13000001128384164</v>
      </c>
    </row>
    <row r="9" spans="1:8" x14ac:dyDescent="0.25">
      <c r="A9" s="2" t="s">
        <v>41</v>
      </c>
      <c r="B9" s="35">
        <v>19057</v>
      </c>
      <c r="C9" s="35">
        <v>21916</v>
      </c>
      <c r="D9" s="36">
        <f t="shared" si="0"/>
        <v>2859</v>
      </c>
      <c r="E9" s="2">
        <f t="shared" si="1"/>
        <v>0.15002361337041506</v>
      </c>
    </row>
    <row r="10" spans="1:8" x14ac:dyDescent="0.25">
      <c r="A10" s="2" t="s">
        <v>42</v>
      </c>
      <c r="B10" s="35">
        <v>770301</v>
      </c>
      <c r="C10" s="35">
        <v>878143</v>
      </c>
      <c r="D10" s="36">
        <f t="shared" si="0"/>
        <v>107842</v>
      </c>
      <c r="E10" s="2">
        <f t="shared" si="1"/>
        <v>0.13999981825286478</v>
      </c>
    </row>
    <row r="11" spans="1:8" x14ac:dyDescent="0.25">
      <c r="A11" s="2" t="s">
        <v>43</v>
      </c>
      <c r="B11" s="35">
        <v>313418</v>
      </c>
      <c r="C11" s="35">
        <v>294613</v>
      </c>
      <c r="D11" s="36">
        <f t="shared" si="0"/>
        <v>-18805</v>
      </c>
      <c r="E11" s="2">
        <f t="shared" si="1"/>
        <v>-5.999974474982292E-2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E11"/>
  <sheetViews>
    <sheetView workbookViewId="0">
      <selection activeCell="F1" sqref="F1"/>
    </sheetView>
  </sheetViews>
  <sheetFormatPr defaultRowHeight="15" x14ac:dyDescent="0.25"/>
  <cols>
    <col min="1" max="1" width="19.42578125" bestFit="1" customWidth="1"/>
    <col min="2" max="2" width="14.28515625" customWidth="1"/>
    <col min="3" max="3" width="10.28515625" customWidth="1"/>
  </cols>
  <sheetData>
    <row r="1" spans="1:5" x14ac:dyDescent="0.25">
      <c r="A1" s="34" t="s">
        <v>31</v>
      </c>
      <c r="B1" s="34" t="s">
        <v>32</v>
      </c>
      <c r="C1" s="34" t="s">
        <v>33</v>
      </c>
      <c r="D1" s="34" t="s">
        <v>149</v>
      </c>
      <c r="E1" s="34" t="s">
        <v>150</v>
      </c>
    </row>
    <row r="2" spans="1:5" x14ac:dyDescent="0.25">
      <c r="A2" s="2" t="s">
        <v>34</v>
      </c>
      <c r="B2" s="35">
        <v>336811</v>
      </c>
      <c r="C2" s="35">
        <v>343547</v>
      </c>
      <c r="D2" s="36">
        <f>C2-B2</f>
        <v>6736</v>
      </c>
      <c r="E2" s="2">
        <f>D2/B2</f>
        <v>1.999934681468242E-2</v>
      </c>
    </row>
    <row r="3" spans="1:5" x14ac:dyDescent="0.25">
      <c r="A3" s="2" t="s">
        <v>35</v>
      </c>
      <c r="B3" s="35">
        <v>973876</v>
      </c>
      <c r="C3" s="35">
        <v>1149174</v>
      </c>
      <c r="D3" s="36">
        <f t="shared" ref="D3:D11" si="0">C3-B3</f>
        <v>175298</v>
      </c>
      <c r="E3" s="2">
        <f t="shared" ref="E3:E11" si="1">D3/B3</f>
        <v>0.18000032858392651</v>
      </c>
    </row>
    <row r="4" spans="1:5" x14ac:dyDescent="0.25">
      <c r="A4" s="2" t="s">
        <v>36</v>
      </c>
      <c r="B4" s="35">
        <v>112982</v>
      </c>
      <c r="C4" s="35">
        <v>115242</v>
      </c>
      <c r="D4" s="36">
        <f t="shared" si="0"/>
        <v>2260</v>
      </c>
      <c r="E4" s="2">
        <f t="shared" si="1"/>
        <v>2.0003186348267865E-2</v>
      </c>
    </row>
    <row r="5" spans="1:5" x14ac:dyDescent="0.25">
      <c r="A5" s="2" t="s">
        <v>37</v>
      </c>
      <c r="B5" s="35">
        <v>53374</v>
      </c>
      <c r="C5" s="35">
        <v>51773</v>
      </c>
      <c r="D5" s="36">
        <f t="shared" si="0"/>
        <v>-1601</v>
      </c>
      <c r="E5" s="2">
        <f t="shared" si="1"/>
        <v>-2.9995878142916026E-2</v>
      </c>
    </row>
    <row r="6" spans="1:5" x14ac:dyDescent="0.25">
      <c r="A6" s="2" t="s">
        <v>38</v>
      </c>
      <c r="B6" s="35">
        <v>322859</v>
      </c>
      <c r="C6" s="35">
        <v>339002</v>
      </c>
      <c r="D6" s="36">
        <f t="shared" si="0"/>
        <v>16143</v>
      </c>
      <c r="E6" s="2">
        <f t="shared" si="1"/>
        <v>5.000015486636581E-2</v>
      </c>
    </row>
    <row r="7" spans="1:5" x14ac:dyDescent="0.25">
      <c r="A7" s="2" t="s">
        <v>39</v>
      </c>
      <c r="B7" s="35">
        <v>987206</v>
      </c>
      <c r="C7" s="35">
        <v>957590</v>
      </c>
      <c r="D7" s="36">
        <f t="shared" si="0"/>
        <v>-29616</v>
      </c>
      <c r="E7" s="2">
        <f t="shared" si="1"/>
        <v>-2.9999817667234599E-2</v>
      </c>
    </row>
    <row r="8" spans="1:5" x14ac:dyDescent="0.25">
      <c r="A8" s="2" t="s">
        <v>40</v>
      </c>
      <c r="B8" s="35">
        <v>886223</v>
      </c>
      <c r="C8" s="35">
        <v>1001432</v>
      </c>
      <c r="D8" s="36">
        <f t="shared" si="0"/>
        <v>115209</v>
      </c>
      <c r="E8" s="2">
        <f t="shared" si="1"/>
        <v>0.13000001128384164</v>
      </c>
    </row>
    <row r="9" spans="1:5" x14ac:dyDescent="0.25">
      <c r="A9" s="2" t="s">
        <v>41</v>
      </c>
      <c r="B9" s="35">
        <v>19057</v>
      </c>
      <c r="C9" s="35">
        <v>21916</v>
      </c>
      <c r="D9" s="36">
        <f t="shared" si="0"/>
        <v>2859</v>
      </c>
      <c r="E9" s="2">
        <f t="shared" si="1"/>
        <v>0.15002361337041506</v>
      </c>
    </row>
    <row r="10" spans="1:5" x14ac:dyDescent="0.25">
      <c r="A10" s="2" t="s">
        <v>42</v>
      </c>
      <c r="B10" s="35">
        <v>770301</v>
      </c>
      <c r="C10" s="35">
        <v>878143</v>
      </c>
      <c r="D10" s="36">
        <f t="shared" si="0"/>
        <v>107842</v>
      </c>
      <c r="E10" s="2">
        <f t="shared" si="1"/>
        <v>0.13999981825286478</v>
      </c>
    </row>
    <row r="11" spans="1:5" x14ac:dyDescent="0.25">
      <c r="A11" s="2" t="s">
        <v>43</v>
      </c>
      <c r="B11" s="35">
        <v>313418</v>
      </c>
      <c r="C11" s="35">
        <v>294613</v>
      </c>
      <c r="D11" s="36">
        <f t="shared" si="0"/>
        <v>-18805</v>
      </c>
      <c r="E11" s="2">
        <f t="shared" si="1"/>
        <v>-5.999974474982292E-2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E11"/>
  <sheetViews>
    <sheetView workbookViewId="0">
      <selection activeCell="F1" sqref="F1"/>
    </sheetView>
  </sheetViews>
  <sheetFormatPr defaultRowHeight="15" x14ac:dyDescent="0.25"/>
  <cols>
    <col min="1" max="1" width="19.42578125" bestFit="1" customWidth="1"/>
    <col min="2" max="2" width="14.28515625" customWidth="1"/>
    <col min="3" max="3" width="10.28515625" customWidth="1"/>
  </cols>
  <sheetData>
    <row r="1" spans="1:5" x14ac:dyDescent="0.25">
      <c r="A1" s="34" t="s">
        <v>31</v>
      </c>
      <c r="B1" s="34" t="s">
        <v>32</v>
      </c>
      <c r="C1" s="34" t="s">
        <v>33</v>
      </c>
      <c r="D1" s="34" t="s">
        <v>149</v>
      </c>
      <c r="E1" s="34" t="s">
        <v>150</v>
      </c>
    </row>
    <row r="2" spans="1:5" x14ac:dyDescent="0.25">
      <c r="A2" s="2" t="s">
        <v>34</v>
      </c>
      <c r="B2" s="35">
        <v>336811</v>
      </c>
      <c r="C2" s="35">
        <v>343547</v>
      </c>
      <c r="D2" s="36">
        <f>C2-B2</f>
        <v>6736</v>
      </c>
      <c r="E2" s="2">
        <f>D2/B2</f>
        <v>1.999934681468242E-2</v>
      </c>
    </row>
    <row r="3" spans="1:5" x14ac:dyDescent="0.25">
      <c r="A3" s="2" t="s">
        <v>35</v>
      </c>
      <c r="B3" s="35">
        <v>973876</v>
      </c>
      <c r="C3" s="35">
        <v>1149174</v>
      </c>
      <c r="D3" s="36">
        <f t="shared" ref="D3:D11" si="0">C3-B3</f>
        <v>175298</v>
      </c>
      <c r="E3" s="2">
        <f t="shared" ref="E3:E11" si="1">D3/B3</f>
        <v>0.18000032858392651</v>
      </c>
    </row>
    <row r="4" spans="1:5" x14ac:dyDescent="0.25">
      <c r="A4" s="2" t="s">
        <v>36</v>
      </c>
      <c r="B4" s="35">
        <v>112982</v>
      </c>
      <c r="C4" s="35">
        <v>115242</v>
      </c>
      <c r="D4" s="36">
        <f t="shared" si="0"/>
        <v>2260</v>
      </c>
      <c r="E4" s="2">
        <f t="shared" si="1"/>
        <v>2.0003186348267865E-2</v>
      </c>
    </row>
    <row r="5" spans="1:5" x14ac:dyDescent="0.25">
      <c r="A5" s="2" t="s">
        <v>37</v>
      </c>
      <c r="B5" s="35">
        <v>53374</v>
      </c>
      <c r="C5" s="35">
        <v>51773</v>
      </c>
      <c r="D5" s="36">
        <f t="shared" si="0"/>
        <v>-1601</v>
      </c>
      <c r="E5" s="2">
        <f t="shared" si="1"/>
        <v>-2.9995878142916026E-2</v>
      </c>
    </row>
    <row r="6" spans="1:5" x14ac:dyDescent="0.25">
      <c r="A6" s="2" t="s">
        <v>38</v>
      </c>
      <c r="B6" s="35">
        <v>322859</v>
      </c>
      <c r="C6" s="35">
        <v>339002</v>
      </c>
      <c r="D6" s="36">
        <f t="shared" si="0"/>
        <v>16143</v>
      </c>
      <c r="E6" s="2">
        <f t="shared" si="1"/>
        <v>5.000015486636581E-2</v>
      </c>
    </row>
    <row r="7" spans="1:5" x14ac:dyDescent="0.25">
      <c r="A7" s="2" t="s">
        <v>39</v>
      </c>
      <c r="B7" s="35">
        <v>987206</v>
      </c>
      <c r="C7" s="35">
        <v>957590</v>
      </c>
      <c r="D7" s="36">
        <f t="shared" si="0"/>
        <v>-29616</v>
      </c>
      <c r="E7" s="2">
        <f t="shared" si="1"/>
        <v>-2.9999817667234599E-2</v>
      </c>
    </row>
    <row r="8" spans="1:5" x14ac:dyDescent="0.25">
      <c r="A8" s="2" t="s">
        <v>40</v>
      </c>
      <c r="B8" s="35">
        <v>886223</v>
      </c>
      <c r="C8" s="35">
        <v>1001432</v>
      </c>
      <c r="D8" s="36">
        <f t="shared" si="0"/>
        <v>115209</v>
      </c>
      <c r="E8" s="2">
        <f t="shared" si="1"/>
        <v>0.13000001128384164</v>
      </c>
    </row>
    <row r="9" spans="1:5" x14ac:dyDescent="0.25">
      <c r="A9" s="2" t="s">
        <v>41</v>
      </c>
      <c r="B9" s="35">
        <v>19057</v>
      </c>
      <c r="C9" s="35">
        <v>21916</v>
      </c>
      <c r="D9" s="36">
        <f t="shared" si="0"/>
        <v>2859</v>
      </c>
      <c r="E9" s="2">
        <f t="shared" si="1"/>
        <v>0.15002361337041506</v>
      </c>
    </row>
    <row r="10" spans="1:5" x14ac:dyDescent="0.25">
      <c r="A10" s="2" t="s">
        <v>42</v>
      </c>
      <c r="B10" s="35">
        <v>770301</v>
      </c>
      <c r="C10" s="35">
        <v>878143</v>
      </c>
      <c r="D10" s="36">
        <f t="shared" si="0"/>
        <v>107842</v>
      </c>
      <c r="E10" s="2">
        <f t="shared" si="1"/>
        <v>0.13999981825286478</v>
      </c>
    </row>
    <row r="11" spans="1:5" x14ac:dyDescent="0.25">
      <c r="A11" s="2" t="s">
        <v>43</v>
      </c>
      <c r="B11" s="35">
        <v>313418</v>
      </c>
      <c r="C11" s="35">
        <v>294613</v>
      </c>
      <c r="D11" s="36">
        <f t="shared" si="0"/>
        <v>-18805</v>
      </c>
      <c r="E11" s="2">
        <f t="shared" si="1"/>
        <v>-5.999974474982292E-2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H5"/>
  <sheetViews>
    <sheetView zoomScaleNormal="100" workbookViewId="0">
      <selection activeCell="E1" sqref="E1"/>
    </sheetView>
  </sheetViews>
  <sheetFormatPr defaultRowHeight="15" x14ac:dyDescent="0.25"/>
  <cols>
    <col min="1" max="1" width="19.42578125" bestFit="1" customWidth="1"/>
    <col min="2" max="2" width="14.28515625" customWidth="1"/>
    <col min="3" max="3" width="12.28515625" customWidth="1"/>
  </cols>
  <sheetData>
    <row r="1" spans="1:8" x14ac:dyDescent="0.25">
      <c r="A1" s="34" t="s">
        <v>31</v>
      </c>
      <c r="B1" s="34" t="s">
        <v>32</v>
      </c>
      <c r="C1" s="34" t="s">
        <v>33</v>
      </c>
      <c r="D1" s="34" t="s">
        <v>149</v>
      </c>
      <c r="H1" t="s">
        <v>129</v>
      </c>
    </row>
    <row r="2" spans="1:8" x14ac:dyDescent="0.25">
      <c r="A2" s="2" t="s">
        <v>34</v>
      </c>
      <c r="B2" s="35">
        <v>336811</v>
      </c>
      <c r="C2" s="35">
        <v>343547</v>
      </c>
      <c r="D2" s="36">
        <f>C2-B2</f>
        <v>6736</v>
      </c>
    </row>
    <row r="3" spans="1:8" x14ac:dyDescent="0.25">
      <c r="A3" s="2" t="s">
        <v>35</v>
      </c>
      <c r="B3" s="35">
        <v>973876</v>
      </c>
      <c r="C3" s="35">
        <v>1149174</v>
      </c>
      <c r="D3" s="36">
        <f t="shared" ref="D3:D5" si="0">C3-B3</f>
        <v>175298</v>
      </c>
    </row>
    <row r="4" spans="1:8" x14ac:dyDescent="0.25">
      <c r="A4" s="2" t="s">
        <v>36</v>
      </c>
      <c r="B4" s="35">
        <v>112982</v>
      </c>
      <c r="C4" s="35">
        <v>115242</v>
      </c>
      <c r="D4" s="36">
        <f t="shared" si="0"/>
        <v>2260</v>
      </c>
    </row>
    <row r="5" spans="1:8" x14ac:dyDescent="0.25">
      <c r="A5" s="2" t="s">
        <v>37</v>
      </c>
      <c r="B5" s="35">
        <v>53374</v>
      </c>
      <c r="C5" s="35">
        <v>51773</v>
      </c>
      <c r="D5" s="36">
        <f t="shared" si="0"/>
        <v>-1601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D7"/>
  <sheetViews>
    <sheetView workbookViewId="0">
      <selection activeCell="D7" sqref="D7"/>
    </sheetView>
  </sheetViews>
  <sheetFormatPr defaultRowHeight="15" x14ac:dyDescent="0.25"/>
  <cols>
    <col min="1" max="1" width="19.42578125" bestFit="1" customWidth="1"/>
    <col min="2" max="2" width="14.28515625" customWidth="1"/>
    <col min="3" max="3" width="10.28515625" customWidth="1"/>
  </cols>
  <sheetData>
    <row r="1" spans="1:4" x14ac:dyDescent="0.25">
      <c r="A1" s="34" t="s">
        <v>31</v>
      </c>
      <c r="B1" s="34" t="s">
        <v>32</v>
      </c>
      <c r="C1" s="34" t="s">
        <v>33</v>
      </c>
      <c r="D1" s="37" t="s">
        <v>149</v>
      </c>
    </row>
    <row r="2" spans="1:4" x14ac:dyDescent="0.25">
      <c r="A2" s="2" t="s">
        <v>34</v>
      </c>
      <c r="B2" s="35">
        <v>336811</v>
      </c>
      <c r="C2" s="35">
        <v>343547</v>
      </c>
      <c r="D2" s="36">
        <f>C2-B2</f>
        <v>6736</v>
      </c>
    </row>
    <row r="3" spans="1:4" x14ac:dyDescent="0.25">
      <c r="A3" s="2" t="s">
        <v>35</v>
      </c>
      <c r="B3" s="35">
        <v>973876</v>
      </c>
      <c r="C3" s="35">
        <v>1149174</v>
      </c>
      <c r="D3" s="36">
        <f t="shared" ref="D3:D7" si="0">C3-B3</f>
        <v>175298</v>
      </c>
    </row>
    <row r="4" spans="1:4" x14ac:dyDescent="0.25">
      <c r="A4" s="2" t="s">
        <v>36</v>
      </c>
      <c r="B4" s="35">
        <v>112982</v>
      </c>
      <c r="C4" s="35">
        <v>115242</v>
      </c>
      <c r="D4" s="36">
        <f t="shared" si="0"/>
        <v>2260</v>
      </c>
    </row>
    <row r="5" spans="1:4" x14ac:dyDescent="0.25">
      <c r="A5" s="2" t="s">
        <v>37</v>
      </c>
      <c r="B5" s="35">
        <v>53374</v>
      </c>
      <c r="C5" s="35">
        <v>51773</v>
      </c>
      <c r="D5" s="36">
        <f t="shared" si="0"/>
        <v>-1601</v>
      </c>
    </row>
    <row r="6" spans="1:4" x14ac:dyDescent="0.25">
      <c r="A6" s="2" t="s">
        <v>38</v>
      </c>
      <c r="B6" s="35">
        <v>322859</v>
      </c>
      <c r="C6" s="35">
        <v>339002</v>
      </c>
      <c r="D6" s="36">
        <f t="shared" si="0"/>
        <v>16143</v>
      </c>
    </row>
    <row r="7" spans="1:4" x14ac:dyDescent="0.25">
      <c r="A7" s="2" t="s">
        <v>39</v>
      </c>
      <c r="B7" s="35">
        <v>987206</v>
      </c>
      <c r="C7" s="35">
        <v>957590</v>
      </c>
      <c r="D7" s="36">
        <f t="shared" si="0"/>
        <v>-29616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D21"/>
  <sheetViews>
    <sheetView workbookViewId="0">
      <selection activeCell="D18" sqref="D18"/>
    </sheetView>
  </sheetViews>
  <sheetFormatPr defaultRowHeight="15" x14ac:dyDescent="0.25"/>
  <cols>
    <col min="1" max="1" width="19.42578125" bestFit="1" customWidth="1"/>
    <col min="2" max="2" width="14.28515625" customWidth="1"/>
    <col min="3" max="3" width="11.28515625" customWidth="1"/>
    <col min="4" max="4" width="11.140625" customWidth="1"/>
  </cols>
  <sheetData>
    <row r="1" spans="1:4" x14ac:dyDescent="0.25">
      <c r="A1" s="34" t="s">
        <v>31</v>
      </c>
      <c r="B1" s="34" t="s">
        <v>32</v>
      </c>
      <c r="C1" s="34" t="s">
        <v>33</v>
      </c>
      <c r="D1" s="34" t="s">
        <v>149</v>
      </c>
    </row>
    <row r="2" spans="1:4" x14ac:dyDescent="0.25">
      <c r="A2" s="2" t="s">
        <v>34</v>
      </c>
      <c r="B2" s="35">
        <v>336811</v>
      </c>
      <c r="C2" s="35">
        <v>343547</v>
      </c>
      <c r="D2" s="36">
        <f>C2-B2</f>
        <v>6736</v>
      </c>
    </row>
    <row r="3" spans="1:4" x14ac:dyDescent="0.25">
      <c r="A3" s="2" t="s">
        <v>35</v>
      </c>
      <c r="B3" s="35">
        <v>973876</v>
      </c>
      <c r="C3" s="35">
        <v>1149174</v>
      </c>
      <c r="D3" s="36">
        <f t="shared" ref="D3:D21" si="0">C3-B3</f>
        <v>175298</v>
      </c>
    </row>
    <row r="4" spans="1:4" x14ac:dyDescent="0.25">
      <c r="A4" s="2" t="s">
        <v>36</v>
      </c>
      <c r="B4" s="35">
        <v>112982</v>
      </c>
      <c r="C4" s="35">
        <v>115242</v>
      </c>
      <c r="D4" s="36">
        <f t="shared" si="0"/>
        <v>2260</v>
      </c>
    </row>
    <row r="5" spans="1:4" x14ac:dyDescent="0.25">
      <c r="A5" s="2" t="s">
        <v>37</v>
      </c>
      <c r="B5" s="35">
        <v>53374</v>
      </c>
      <c r="C5" s="35">
        <v>51773</v>
      </c>
      <c r="D5" s="36">
        <f t="shared" si="0"/>
        <v>-1601</v>
      </c>
    </row>
    <row r="6" spans="1:4" x14ac:dyDescent="0.25">
      <c r="A6" s="2" t="s">
        <v>38</v>
      </c>
      <c r="B6" s="35">
        <v>322859</v>
      </c>
      <c r="C6" s="35">
        <v>339002</v>
      </c>
      <c r="D6" s="36">
        <f t="shared" si="0"/>
        <v>16143</v>
      </c>
    </row>
    <row r="7" spans="1:4" x14ac:dyDescent="0.25">
      <c r="A7" s="2" t="s">
        <v>39</v>
      </c>
      <c r="B7" s="35">
        <v>987206</v>
      </c>
      <c r="C7" s="35">
        <v>957590</v>
      </c>
      <c r="D7" s="36">
        <f t="shared" si="0"/>
        <v>-29616</v>
      </c>
    </row>
    <row r="8" spans="1:4" x14ac:dyDescent="0.25">
      <c r="A8" s="2" t="s">
        <v>40</v>
      </c>
      <c r="B8" s="35">
        <v>886223</v>
      </c>
      <c r="C8" s="35">
        <v>1001432</v>
      </c>
      <c r="D8" s="36">
        <f t="shared" si="0"/>
        <v>115209</v>
      </c>
    </row>
    <row r="9" spans="1:4" x14ac:dyDescent="0.25">
      <c r="A9" s="2" t="s">
        <v>41</v>
      </c>
      <c r="B9" s="35">
        <v>19057</v>
      </c>
      <c r="C9" s="35">
        <v>21916</v>
      </c>
      <c r="D9" s="36">
        <f t="shared" si="0"/>
        <v>2859</v>
      </c>
    </row>
    <row r="10" spans="1:4" x14ac:dyDescent="0.25">
      <c r="A10" s="2" t="s">
        <v>42</v>
      </c>
      <c r="B10" s="35">
        <v>770301</v>
      </c>
      <c r="C10" s="35">
        <v>878143</v>
      </c>
      <c r="D10" s="36">
        <f t="shared" si="0"/>
        <v>107842</v>
      </c>
    </row>
    <row r="11" spans="1:4" x14ac:dyDescent="0.25">
      <c r="A11" s="2" t="s">
        <v>43</v>
      </c>
      <c r="B11" s="35">
        <v>313418</v>
      </c>
      <c r="C11" s="35">
        <v>294613</v>
      </c>
      <c r="D11" s="36">
        <f t="shared" si="0"/>
        <v>-18805</v>
      </c>
    </row>
    <row r="12" spans="1:4" x14ac:dyDescent="0.25">
      <c r="A12" s="2" t="s">
        <v>44</v>
      </c>
      <c r="B12" s="2">
        <v>242303</v>
      </c>
      <c r="C12" s="2">
        <v>264110</v>
      </c>
      <c r="D12" s="36">
        <f t="shared" si="0"/>
        <v>21807</v>
      </c>
    </row>
    <row r="13" spans="1:4" x14ac:dyDescent="0.25">
      <c r="A13" s="2" t="s">
        <v>45</v>
      </c>
      <c r="B13" s="2">
        <v>609327</v>
      </c>
      <c r="C13" s="2">
        <v>578861</v>
      </c>
      <c r="D13" s="36">
        <f t="shared" si="0"/>
        <v>-30466</v>
      </c>
    </row>
    <row r="14" spans="1:4" x14ac:dyDescent="0.25">
      <c r="A14" s="2" t="s">
        <v>46</v>
      </c>
      <c r="B14" s="2">
        <v>22784</v>
      </c>
      <c r="C14" s="2">
        <v>20506</v>
      </c>
      <c r="D14" s="36">
        <f t="shared" si="0"/>
        <v>-2278</v>
      </c>
    </row>
    <row r="15" spans="1:4" x14ac:dyDescent="0.25">
      <c r="A15" s="2" t="s">
        <v>47</v>
      </c>
      <c r="B15" s="2">
        <v>946323</v>
      </c>
      <c r="C15" s="2">
        <v>984176</v>
      </c>
      <c r="D15" s="36">
        <f t="shared" si="0"/>
        <v>37853</v>
      </c>
    </row>
    <row r="16" spans="1:4" x14ac:dyDescent="0.25">
      <c r="A16" s="2" t="s">
        <v>48</v>
      </c>
      <c r="B16" s="2">
        <v>46880</v>
      </c>
      <c r="C16" s="2">
        <v>47349</v>
      </c>
      <c r="D16" s="36">
        <f t="shared" si="0"/>
        <v>469</v>
      </c>
    </row>
    <row r="17" spans="1:4" x14ac:dyDescent="0.25">
      <c r="A17" s="2" t="s">
        <v>49</v>
      </c>
      <c r="B17" s="2">
        <v>392492</v>
      </c>
      <c r="C17" s="2">
        <v>388567</v>
      </c>
      <c r="D17" s="36">
        <f t="shared" si="0"/>
        <v>-3925</v>
      </c>
    </row>
    <row r="18" spans="1:4" x14ac:dyDescent="0.25">
      <c r="A18" s="2" t="s">
        <v>50</v>
      </c>
      <c r="B18" s="2">
        <v>408653</v>
      </c>
      <c r="C18" s="2">
        <v>441345</v>
      </c>
      <c r="D18" s="36">
        <f t="shared" si="0"/>
        <v>32692</v>
      </c>
    </row>
    <row r="19" spans="1:4" x14ac:dyDescent="0.25">
      <c r="A19" s="2" t="s">
        <v>51</v>
      </c>
      <c r="B19" s="2">
        <v>780152</v>
      </c>
      <c r="C19" s="2">
        <v>756747</v>
      </c>
      <c r="D19" s="36">
        <f t="shared" si="0"/>
        <v>-23405</v>
      </c>
    </row>
    <row r="20" spans="1:4" x14ac:dyDescent="0.25">
      <c r="A20" s="2" t="s">
        <v>52</v>
      </c>
      <c r="B20" s="2">
        <v>734984</v>
      </c>
      <c r="C20" s="2">
        <v>734984</v>
      </c>
      <c r="D20" s="36">
        <f t="shared" si="0"/>
        <v>0</v>
      </c>
    </row>
    <row r="21" spans="1:4" x14ac:dyDescent="0.25">
      <c r="A21" s="2" t="s">
        <v>53</v>
      </c>
      <c r="B21" s="2">
        <v>129592</v>
      </c>
      <c r="C21" s="2">
        <v>111449</v>
      </c>
      <c r="D21" s="36">
        <f t="shared" si="0"/>
        <v>-18143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086B9-849B-4658-8A1F-63CE0FD9FCBE}">
  <sheetPr codeName="Sheet19">
    <tabColor rgb="FF0000FF"/>
  </sheetPr>
  <dimension ref="A1:I15"/>
  <sheetViews>
    <sheetView workbookViewId="0">
      <selection activeCell="C11" sqref="C11"/>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2" spans="1:9" x14ac:dyDescent="0.25">
      <c r="A2" t="s">
        <v>63</v>
      </c>
      <c r="B2" t="s">
        <v>64</v>
      </c>
      <c r="C2" t="s">
        <v>65</v>
      </c>
      <c r="D2" t="s">
        <v>66</v>
      </c>
      <c r="E2" t="s">
        <v>67</v>
      </c>
      <c r="F2">
        <v>98104</v>
      </c>
      <c r="G2" t="s">
        <v>68</v>
      </c>
      <c r="H2" t="str">
        <f>A2&amp;"_"&amp;B2&amp;"@notaol.com"</f>
        <v>Steve_Chin@notaol.com</v>
      </c>
      <c r="I2" t="str">
        <f>B2&amp;"_"&amp;C2&amp;"@notaol.com"</f>
        <v>Chin_14 17th St.@notaol.com</v>
      </c>
    </row>
    <row r="3" spans="1:9" x14ac:dyDescent="0.25">
      <c r="A3" t="s">
        <v>69</v>
      </c>
      <c r="B3" t="s">
        <v>70</v>
      </c>
      <c r="C3" t="s">
        <v>71</v>
      </c>
      <c r="D3" t="s">
        <v>66</v>
      </c>
      <c r="E3" t="s">
        <v>67</v>
      </c>
      <c r="F3">
        <v>98106</v>
      </c>
      <c r="G3" t="s">
        <v>72</v>
      </c>
      <c r="H3" t="str">
        <f>A3&amp;"_"&amp;B3&amp;"@notaol.com"</f>
        <v>Troun_Tenn@notaol.com</v>
      </c>
      <c r="I3" t="str">
        <f>B3&amp;"_"&amp;C3&amp;"@notaol.com"</f>
        <v>Tenn_6 19th St.@notaol.com</v>
      </c>
    </row>
    <row r="4" spans="1:9" x14ac:dyDescent="0.25">
      <c r="A4" t="s">
        <v>73</v>
      </c>
      <c r="B4" t="s">
        <v>74</v>
      </c>
      <c r="C4" t="s">
        <v>75</v>
      </c>
      <c r="D4" t="s">
        <v>66</v>
      </c>
      <c r="E4" t="s">
        <v>67</v>
      </c>
      <c r="F4">
        <v>98117</v>
      </c>
      <c r="G4" t="s">
        <v>76</v>
      </c>
      <c r="H4" t="str">
        <f>A4&amp;"_"&amp;B4&amp;"@notaol.com"</f>
        <v>Rhond_Tradfren@notaol.com</v>
      </c>
      <c r="I4" t="str">
        <f>B4&amp;"_"&amp;C4&amp;"@notaol.com"</f>
        <v>Tradfren_10 13th St.@notaol.com</v>
      </c>
    </row>
    <row r="5" spans="1:9" x14ac:dyDescent="0.25">
      <c r="A5" t="s">
        <v>77</v>
      </c>
      <c r="B5" t="s">
        <v>78</v>
      </c>
      <c r="C5" t="s">
        <v>79</v>
      </c>
      <c r="D5" t="s">
        <v>66</v>
      </c>
      <c r="E5" t="s">
        <v>67</v>
      </c>
      <c r="F5">
        <v>98111</v>
      </c>
      <c r="G5" t="s">
        <v>80</v>
      </c>
      <c r="H5" t="str">
        <f>A5&amp;"_"&amp;B5&amp;"@notaol.com"</f>
        <v>Sheli_Das@notaol.com</v>
      </c>
      <c r="I5" t="str">
        <f>B5&amp;"_"&amp;C5&amp;"@notaol.com"</f>
        <v>Das_2 15th St.@notaol.com</v>
      </c>
    </row>
    <row r="6" spans="1:9" x14ac:dyDescent="0.25">
      <c r="A6" t="s">
        <v>81</v>
      </c>
      <c r="B6" t="s">
        <v>82</v>
      </c>
      <c r="C6" t="s">
        <v>83</v>
      </c>
      <c r="D6" t="s">
        <v>66</v>
      </c>
      <c r="E6" t="s">
        <v>67</v>
      </c>
      <c r="F6">
        <v>98114</v>
      </c>
      <c r="G6" t="s">
        <v>84</v>
      </c>
      <c r="H6" t="str">
        <f>A6&amp;"_"&amp;B6&amp;"@notaol.com"</f>
        <v>Jon_Teddy@notaol.com</v>
      </c>
      <c r="I6" t="str">
        <f>B6&amp;"_"&amp;C6&amp;"@notaol.com"</f>
        <v>Teddy_3 17th St.@notaol.com</v>
      </c>
    </row>
    <row r="7" spans="1:9" x14ac:dyDescent="0.25">
      <c r="A7" t="s">
        <v>85</v>
      </c>
      <c r="B7" t="s">
        <v>86</v>
      </c>
      <c r="C7" t="s">
        <v>87</v>
      </c>
      <c r="D7" t="s">
        <v>66</v>
      </c>
      <c r="E7" t="s">
        <v>67</v>
      </c>
      <c r="F7">
        <v>98114</v>
      </c>
      <c r="G7" t="s">
        <v>88</v>
      </c>
      <c r="H7" t="str">
        <f>A7&amp;"_"&amp;B7&amp;"@notaol.com"</f>
        <v>Jeri_Yessler@notaol.com</v>
      </c>
      <c r="I7" t="str">
        <f>B7&amp;"_"&amp;C7&amp;"@notaol.com"</f>
        <v>Yessler_12 16th St.@notaol.com</v>
      </c>
    </row>
    <row r="8" spans="1:9" x14ac:dyDescent="0.25">
      <c r="A8" t="s">
        <v>89</v>
      </c>
      <c r="B8" t="s">
        <v>90</v>
      </c>
      <c r="C8" t="s">
        <v>91</v>
      </c>
      <c r="D8" t="s">
        <v>66</v>
      </c>
      <c r="E8" t="s">
        <v>67</v>
      </c>
      <c r="F8">
        <v>98113</v>
      </c>
      <c r="G8" t="s">
        <v>92</v>
      </c>
      <c r="H8" t="str">
        <f>A8&amp;"_"&amp;B8&amp;"@notaol.com"</f>
        <v>Luke_Suix@notaol.com</v>
      </c>
      <c r="I8" t="str">
        <f>B8&amp;"_"&amp;C8&amp;"@notaol.com"</f>
        <v>Suix_8 19th St.@notaol.com</v>
      </c>
    </row>
    <row r="9" spans="1:9" x14ac:dyDescent="0.25">
      <c r="A9" t="s">
        <v>89</v>
      </c>
      <c r="B9" t="s">
        <v>93</v>
      </c>
      <c r="C9" t="s">
        <v>94</v>
      </c>
      <c r="D9" t="s">
        <v>66</v>
      </c>
      <c r="E9" t="s">
        <v>67</v>
      </c>
      <c r="F9">
        <v>98108</v>
      </c>
      <c r="G9" t="s">
        <v>95</v>
      </c>
      <c r="H9" t="str">
        <f>A9&amp;"_"&amp;B9&amp;"@notaol.com"</f>
        <v>Luke_Red@notaol.com</v>
      </c>
      <c r="I9" t="str">
        <f>B9&amp;"_"&amp;C9&amp;"@notaol.com"</f>
        <v>Red_15 16th St.@notaol.com</v>
      </c>
    </row>
    <row r="10" spans="1:9" x14ac:dyDescent="0.25">
      <c r="A10" t="s">
        <v>85</v>
      </c>
      <c r="B10" t="s">
        <v>96</v>
      </c>
      <c r="C10" t="s">
        <v>97</v>
      </c>
      <c r="D10" t="s">
        <v>66</v>
      </c>
      <c r="E10" t="s">
        <v>67</v>
      </c>
      <c r="F10">
        <v>98112</v>
      </c>
      <c r="G10" t="s">
        <v>98</v>
      </c>
      <c r="H10" t="str">
        <f>A10&amp;"_"&amp;B10&amp;"@notaol.com"</f>
        <v>Jeri_Smythe@notaol.com</v>
      </c>
      <c r="I10" t="str">
        <f>B10&amp;"_"&amp;C10&amp;"@notaol.com"</f>
        <v>Smythe_14 19th St.@notaol.com</v>
      </c>
    </row>
    <row r="11" spans="1:9" x14ac:dyDescent="0.25">
      <c r="A11" t="s">
        <v>89</v>
      </c>
      <c r="B11" t="s">
        <v>99</v>
      </c>
      <c r="C11" t="s">
        <v>100</v>
      </c>
      <c r="D11" t="s">
        <v>66</v>
      </c>
      <c r="E11" t="s">
        <v>67</v>
      </c>
      <c r="F11">
        <v>98106</v>
      </c>
      <c r="G11" t="s">
        <v>101</v>
      </c>
      <c r="H11" t="str">
        <f>A11&amp;"_"&amp;B11&amp;"@notaol.com"</f>
        <v>Luke_Rad@notaol.com</v>
      </c>
      <c r="I11" t="str">
        <f>B11&amp;"_"&amp;C11&amp;"@notaol.com"</f>
        <v>Rad_3 16th St.@notaol.com</v>
      </c>
    </row>
    <row r="12" spans="1:9" x14ac:dyDescent="0.25">
      <c r="A12" t="s">
        <v>81</v>
      </c>
      <c r="B12" t="s">
        <v>102</v>
      </c>
      <c r="C12" t="s">
        <v>103</v>
      </c>
      <c r="D12" t="s">
        <v>66</v>
      </c>
      <c r="E12" t="s">
        <v>67</v>
      </c>
      <c r="F12">
        <v>98116</v>
      </c>
      <c r="G12" t="s">
        <v>104</v>
      </c>
      <c r="H12" t="str">
        <f>A12&amp;"_"&amp;B12&amp;"@notaol.com"</f>
        <v>Jon_Dap@notaol.com</v>
      </c>
      <c r="I12" t="str">
        <f>B12&amp;"_"&amp;C12&amp;"@notaol.com"</f>
        <v>Dap_5 19th St.@notaol.com</v>
      </c>
    </row>
    <row r="13" spans="1:9" x14ac:dyDescent="0.25">
      <c r="A13" t="s">
        <v>63</v>
      </c>
      <c r="B13" t="s">
        <v>105</v>
      </c>
      <c r="C13" t="s">
        <v>106</v>
      </c>
      <c r="D13" t="s">
        <v>66</v>
      </c>
      <c r="E13" t="s">
        <v>67</v>
      </c>
      <c r="F13">
        <v>98111</v>
      </c>
      <c r="G13" t="s">
        <v>107</v>
      </c>
      <c r="H13" t="str">
        <f>A13&amp;"_"&amp;B13&amp;"@notaol.com"</f>
        <v>Steve_Gupis@notaol.com</v>
      </c>
      <c r="I13" t="str">
        <f>B13&amp;"_"&amp;C13&amp;"@notaol.com"</f>
        <v>Gupis_6 17th St.@notaol.com</v>
      </c>
    </row>
    <row r="14" spans="1:9" x14ac:dyDescent="0.25">
      <c r="A14" t="s">
        <v>81</v>
      </c>
      <c r="B14" t="s">
        <v>108</v>
      </c>
      <c r="C14" t="s">
        <v>109</v>
      </c>
      <c r="D14" t="s">
        <v>66</v>
      </c>
      <c r="E14" t="s">
        <v>67</v>
      </c>
      <c r="F14">
        <v>98104</v>
      </c>
      <c r="G14" t="s">
        <v>110</v>
      </c>
      <c r="H14" t="str">
        <f>A14&amp;"_"&amp;B14&amp;"@notaol.com"</f>
        <v>Jon_Summi@notaol.com</v>
      </c>
      <c r="I14" t="str">
        <f>B14&amp;"_"&amp;C14&amp;"@notaol.com"</f>
        <v>Summi_4 14th St.@notaol.com</v>
      </c>
    </row>
    <row r="15" spans="1:9" x14ac:dyDescent="0.25">
      <c r="A15" t="s">
        <v>77</v>
      </c>
      <c r="B15" t="s">
        <v>111</v>
      </c>
      <c r="C15" t="s">
        <v>112</v>
      </c>
      <c r="D15" t="s">
        <v>66</v>
      </c>
      <c r="E15" t="s">
        <v>67</v>
      </c>
      <c r="F15">
        <v>98110</v>
      </c>
      <c r="G15" t="s">
        <v>113</v>
      </c>
      <c r="H15" t="str">
        <f>A15&amp;"_"&amp;B15&amp;"@notaol.com"</f>
        <v>Sheli_Fun@notaol.com</v>
      </c>
      <c r="I15" t="str">
        <f>B15&amp;"_"&amp;C15&amp;"@notaol.com"</f>
        <v>Fun_7 15th St.@notaol.com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I15"/>
  <sheetViews>
    <sheetView workbookViewId="0">
      <selection activeCell="A16" sqref="A16"/>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2" spans="1:9" x14ac:dyDescent="0.25">
      <c r="A2" t="s">
        <v>63</v>
      </c>
      <c r="B2" t="s">
        <v>64</v>
      </c>
      <c r="C2" t="s">
        <v>65</v>
      </c>
      <c r="D2" t="s">
        <v>66</v>
      </c>
      <c r="E2" t="s">
        <v>67</v>
      </c>
      <c r="F2">
        <v>98104</v>
      </c>
      <c r="G2" t="s">
        <v>68</v>
      </c>
      <c r="H2" t="str">
        <f>A2&amp;"_"&amp;B2&amp;"@notaol.com"</f>
        <v>Steve_Chin@notaol.com</v>
      </c>
      <c r="I2" t="str">
        <f>B2&amp;"_"&amp;C2&amp;"@notaol.com"</f>
        <v>Chin_14 17th St.@notaol.com</v>
      </c>
    </row>
    <row r="3" spans="1:9" x14ac:dyDescent="0.25">
      <c r="A3" t="s">
        <v>69</v>
      </c>
      <c r="B3" t="s">
        <v>70</v>
      </c>
      <c r="C3" t="s">
        <v>71</v>
      </c>
      <c r="D3" t="s">
        <v>66</v>
      </c>
      <c r="E3" t="s">
        <v>67</v>
      </c>
      <c r="F3">
        <v>98106</v>
      </c>
      <c r="G3" t="s">
        <v>72</v>
      </c>
      <c r="H3" t="str">
        <f>A3&amp;"_"&amp;B3&amp;"@notaol.com"</f>
        <v>Troun_Tenn@notaol.com</v>
      </c>
      <c r="I3" t="str">
        <f>B3&amp;"_"&amp;C3&amp;"@notaol.com"</f>
        <v>Tenn_6 19th St.@notaol.com</v>
      </c>
    </row>
    <row r="4" spans="1:9" x14ac:dyDescent="0.25">
      <c r="A4" t="s">
        <v>73</v>
      </c>
      <c r="B4" t="s">
        <v>74</v>
      </c>
      <c r="C4" t="s">
        <v>75</v>
      </c>
      <c r="D4" t="s">
        <v>66</v>
      </c>
      <c r="E4" t="s">
        <v>67</v>
      </c>
      <c r="F4">
        <v>98117</v>
      </c>
      <c r="G4" t="s">
        <v>76</v>
      </c>
      <c r="H4" t="str">
        <f>A4&amp;"_"&amp;B4&amp;"@notaol.com"</f>
        <v>Rhond_Tradfren@notaol.com</v>
      </c>
      <c r="I4" t="str">
        <f>B4&amp;"_"&amp;C4&amp;"@notaol.com"</f>
        <v>Tradfren_10 13th St.@notaol.com</v>
      </c>
    </row>
    <row r="5" spans="1:9" x14ac:dyDescent="0.25">
      <c r="A5" t="s">
        <v>77</v>
      </c>
      <c r="B5" t="s">
        <v>78</v>
      </c>
      <c r="C5" t="s">
        <v>79</v>
      </c>
      <c r="D5" t="s">
        <v>66</v>
      </c>
      <c r="E5" t="s">
        <v>67</v>
      </c>
      <c r="F5">
        <v>98111</v>
      </c>
      <c r="G5" t="s">
        <v>80</v>
      </c>
      <c r="H5" t="str">
        <f>A5&amp;"_"&amp;B5&amp;"@notaol.com"</f>
        <v>Sheli_Das@notaol.com</v>
      </c>
      <c r="I5" t="str">
        <f>B5&amp;"_"&amp;C5&amp;"@notaol.com"</f>
        <v>Das_2 15th St.@notaol.com</v>
      </c>
    </row>
    <row r="6" spans="1:9" x14ac:dyDescent="0.25">
      <c r="A6" t="s">
        <v>81</v>
      </c>
      <c r="B6" t="s">
        <v>82</v>
      </c>
      <c r="C6" t="s">
        <v>83</v>
      </c>
      <c r="D6" t="s">
        <v>66</v>
      </c>
      <c r="E6" t="s">
        <v>67</v>
      </c>
      <c r="F6">
        <v>98114</v>
      </c>
      <c r="G6" t="s">
        <v>84</v>
      </c>
      <c r="H6" t="str">
        <f>A6&amp;"_"&amp;B6&amp;"@notaol.com"</f>
        <v>Jon_Teddy@notaol.com</v>
      </c>
      <c r="I6" t="str">
        <f>B6&amp;"_"&amp;C6&amp;"@notaol.com"</f>
        <v>Teddy_3 17th St.@notaol.com</v>
      </c>
    </row>
    <row r="7" spans="1:9" x14ac:dyDescent="0.25">
      <c r="A7" t="s">
        <v>85</v>
      </c>
      <c r="B7" t="s">
        <v>86</v>
      </c>
      <c r="C7" t="s">
        <v>87</v>
      </c>
      <c r="D7" t="s">
        <v>66</v>
      </c>
      <c r="E7" t="s">
        <v>67</v>
      </c>
      <c r="F7">
        <v>98114</v>
      </c>
      <c r="G7" t="s">
        <v>88</v>
      </c>
      <c r="H7" t="str">
        <f>A7&amp;"_"&amp;B7&amp;"@notaol.com"</f>
        <v>Jeri_Yessler@notaol.com</v>
      </c>
      <c r="I7" t="str">
        <f>B7&amp;"_"&amp;C7&amp;"@notaol.com"</f>
        <v>Yessler_12 16th St.@notaol.com</v>
      </c>
    </row>
    <row r="8" spans="1:9" x14ac:dyDescent="0.25">
      <c r="A8" t="s">
        <v>89</v>
      </c>
      <c r="B8" t="s">
        <v>90</v>
      </c>
      <c r="C8" t="s">
        <v>91</v>
      </c>
      <c r="D8" t="s">
        <v>66</v>
      </c>
      <c r="E8" t="s">
        <v>67</v>
      </c>
      <c r="F8">
        <v>98113</v>
      </c>
      <c r="G8" t="s">
        <v>92</v>
      </c>
      <c r="H8" t="str">
        <f>A8&amp;"_"&amp;B8&amp;"@notaol.com"</f>
        <v>Luke_Suix@notaol.com</v>
      </c>
      <c r="I8" t="str">
        <f>B8&amp;"_"&amp;C8&amp;"@notaol.com"</f>
        <v>Suix_8 19th St.@notaol.com</v>
      </c>
    </row>
    <row r="9" spans="1:9" x14ac:dyDescent="0.25">
      <c r="A9" t="s">
        <v>89</v>
      </c>
      <c r="B9" t="s">
        <v>93</v>
      </c>
      <c r="C9" t="s">
        <v>94</v>
      </c>
      <c r="D9" t="s">
        <v>66</v>
      </c>
      <c r="E9" t="s">
        <v>67</v>
      </c>
      <c r="F9">
        <v>98108</v>
      </c>
      <c r="G9" t="s">
        <v>95</v>
      </c>
      <c r="H9" t="str">
        <f>A9&amp;"_"&amp;B9&amp;"@notaol.com"</f>
        <v>Luke_Red@notaol.com</v>
      </c>
      <c r="I9" t="str">
        <f>B9&amp;"_"&amp;C9&amp;"@notaol.com"</f>
        <v>Red_15 16th St.@notaol.com</v>
      </c>
    </row>
    <row r="10" spans="1:9" x14ac:dyDescent="0.25">
      <c r="A10" t="s">
        <v>85</v>
      </c>
      <c r="B10" t="s">
        <v>96</v>
      </c>
      <c r="C10" t="s">
        <v>97</v>
      </c>
      <c r="D10" t="s">
        <v>66</v>
      </c>
      <c r="E10" t="s">
        <v>67</v>
      </c>
      <c r="F10">
        <v>98112</v>
      </c>
      <c r="G10" t="s">
        <v>98</v>
      </c>
      <c r="H10" t="str">
        <f>A10&amp;"_"&amp;B10&amp;"@notaol.com"</f>
        <v>Jeri_Smythe@notaol.com</v>
      </c>
      <c r="I10" t="str">
        <f>B10&amp;"_"&amp;C10&amp;"@notaol.com"</f>
        <v>Smythe_14 19th St.@notaol.com</v>
      </c>
    </row>
    <row r="11" spans="1:9" x14ac:dyDescent="0.25">
      <c r="A11" t="s">
        <v>89</v>
      </c>
      <c r="B11" t="s">
        <v>99</v>
      </c>
      <c r="C11" t="s">
        <v>100</v>
      </c>
      <c r="D11" t="s">
        <v>66</v>
      </c>
      <c r="E11" t="s">
        <v>67</v>
      </c>
      <c r="F11">
        <v>98106</v>
      </c>
      <c r="G11" t="s">
        <v>101</v>
      </c>
      <c r="H11" t="str">
        <f>A11&amp;"_"&amp;B11&amp;"@notaol.com"</f>
        <v>Luke_Rad@notaol.com</v>
      </c>
      <c r="I11" t="str">
        <f>B11&amp;"_"&amp;C11&amp;"@notaol.com"</f>
        <v>Rad_3 16th St.@notaol.com</v>
      </c>
    </row>
    <row r="12" spans="1:9" x14ac:dyDescent="0.25">
      <c r="A12" t="s">
        <v>81</v>
      </c>
      <c r="B12" t="s">
        <v>102</v>
      </c>
      <c r="C12" t="s">
        <v>103</v>
      </c>
      <c r="D12" t="s">
        <v>66</v>
      </c>
      <c r="E12" t="s">
        <v>67</v>
      </c>
      <c r="F12">
        <v>98116</v>
      </c>
      <c r="G12" t="s">
        <v>104</v>
      </c>
      <c r="H12" t="str">
        <f>A12&amp;"_"&amp;B12&amp;"@notaol.com"</f>
        <v>Jon_Dap@notaol.com</v>
      </c>
      <c r="I12" t="str">
        <f>B12&amp;"_"&amp;C12&amp;"@notaol.com"</f>
        <v>Dap_5 19th St.@notaol.com</v>
      </c>
    </row>
    <row r="13" spans="1:9" x14ac:dyDescent="0.25">
      <c r="A13" t="s">
        <v>63</v>
      </c>
      <c r="B13" t="s">
        <v>105</v>
      </c>
      <c r="C13" t="s">
        <v>106</v>
      </c>
      <c r="D13" t="s">
        <v>66</v>
      </c>
      <c r="E13" t="s">
        <v>67</v>
      </c>
      <c r="F13">
        <v>98111</v>
      </c>
      <c r="G13" t="s">
        <v>107</v>
      </c>
      <c r="H13" t="str">
        <f>A13&amp;"_"&amp;B13&amp;"@notaol.com"</f>
        <v>Steve_Gupis@notaol.com</v>
      </c>
      <c r="I13" t="str">
        <f>B13&amp;"_"&amp;C13&amp;"@notaol.com"</f>
        <v>Gupis_6 17th St.@notaol.com</v>
      </c>
    </row>
    <row r="14" spans="1:9" x14ac:dyDescent="0.25">
      <c r="A14" t="s">
        <v>81</v>
      </c>
      <c r="B14" t="s">
        <v>108</v>
      </c>
      <c r="C14" t="s">
        <v>109</v>
      </c>
      <c r="D14" t="s">
        <v>66</v>
      </c>
      <c r="E14" t="s">
        <v>67</v>
      </c>
      <c r="F14">
        <v>98104</v>
      </c>
      <c r="G14" t="s">
        <v>110</v>
      </c>
      <c r="H14" t="str">
        <f>A14&amp;"_"&amp;B14&amp;"@notaol.com"</f>
        <v>Jon_Summi@notaol.com</v>
      </c>
      <c r="I14" t="str">
        <f>B14&amp;"_"&amp;C14&amp;"@notaol.com"</f>
        <v>Summi_4 14th St.@notaol.com</v>
      </c>
    </row>
    <row r="15" spans="1:9" x14ac:dyDescent="0.25">
      <c r="A15" t="s">
        <v>77</v>
      </c>
      <c r="B15" t="s">
        <v>111</v>
      </c>
      <c r="C15" t="s">
        <v>112</v>
      </c>
      <c r="D15" t="s">
        <v>66</v>
      </c>
      <c r="E15" t="s">
        <v>67</v>
      </c>
      <c r="F15">
        <v>98110</v>
      </c>
      <c r="G15" t="s">
        <v>113</v>
      </c>
      <c r="H15" t="str">
        <f>A15&amp;"_"&amp;B15&amp;"@notaol.com"</f>
        <v>Sheli_Fun@notaol.com</v>
      </c>
      <c r="I15" t="str">
        <f>B15&amp;"_"&amp;C15&amp;"@notaol.com"</f>
        <v>Fun_7 15th St.@notaol.com</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00FF"/>
  </sheetPr>
  <dimension ref="A1:I141"/>
  <sheetViews>
    <sheetView workbookViewId="0"/>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I141"/>
  <sheetViews>
    <sheetView workbookViewId="0">
      <selection activeCell="A3" sqref="A3"/>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00FF"/>
  </sheetPr>
  <dimension ref="A1:I141"/>
  <sheetViews>
    <sheetView workbookViewId="0"/>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I141"/>
  <sheetViews>
    <sheetView workbookViewId="0">
      <selection activeCell="A2" sqref="A2"/>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00FF"/>
  </sheetPr>
  <dimension ref="A1:B9"/>
  <sheetViews>
    <sheetView zoomScale="115" zoomScaleNormal="115" workbookViewId="0">
      <selection activeCell="B2" sqref="B2"/>
    </sheetView>
  </sheetViews>
  <sheetFormatPr defaultRowHeight="15" x14ac:dyDescent="0.25"/>
  <cols>
    <col min="2" max="2" width="71.7109375" customWidth="1"/>
  </cols>
  <sheetData>
    <row r="1" spans="1:2" x14ac:dyDescent="0.25">
      <c r="A1" s="4" t="s">
        <v>114</v>
      </c>
      <c r="B1" s="4" t="s">
        <v>115</v>
      </c>
    </row>
    <row r="2" spans="1:2" x14ac:dyDescent="0.25">
      <c r="A2" s="2">
        <v>12.23</v>
      </c>
      <c r="B2" s="2" t="e">
        <f ca="1">SpellNumber(A2)</f>
        <v>#NAME?</v>
      </c>
    </row>
    <row r="3" spans="1:2" x14ac:dyDescent="0.25">
      <c r="A3" s="2">
        <v>64537.23</v>
      </c>
      <c r="B3" s="2" t="e">
        <f ca="1">SpellNumber(A3)</f>
        <v>#NAME?</v>
      </c>
    </row>
    <row r="4" spans="1:2" x14ac:dyDescent="0.25">
      <c r="A4" s="2">
        <v>857564</v>
      </c>
      <c r="B4" s="2"/>
    </row>
    <row r="5" spans="1:2" x14ac:dyDescent="0.25">
      <c r="A5" s="2">
        <v>1</v>
      </c>
      <c r="B5" s="2"/>
    </row>
    <row r="9" spans="1:2" x14ac:dyDescent="0.25">
      <c r="A9" t="s">
        <v>131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G17"/>
  <sheetViews>
    <sheetView zoomScaleNormal="100" workbookViewId="0">
      <selection activeCell="H8" sqref="H8"/>
    </sheetView>
  </sheetViews>
  <sheetFormatPr defaultRowHeight="15" x14ac:dyDescent="0.25"/>
  <sheetData>
    <row r="1" spans="1:7" ht="31.5" x14ac:dyDescent="0.25">
      <c r="A1" s="1" t="s">
        <v>114</v>
      </c>
      <c r="C1" s="5" t="s">
        <v>116</v>
      </c>
      <c r="E1" s="5" t="s">
        <v>117</v>
      </c>
    </row>
    <row r="2" spans="1:7" x14ac:dyDescent="0.25">
      <c r="A2" s="2">
        <v>3</v>
      </c>
      <c r="C2" s="6">
        <f>ColorFunction(E2,A2:A13,FALSE)</f>
        <v>2</v>
      </c>
      <c r="E2" s="8"/>
      <c r="F2" t="str">
        <f ca="1">_xlfn.FORMULATEXT(C2)</f>
        <v>=ColorFunction(E2,A2:A13,FALSE)</v>
      </c>
    </row>
    <row r="3" spans="1:7" x14ac:dyDescent="0.25">
      <c r="A3" s="7">
        <v>4</v>
      </c>
      <c r="C3">
        <f>ColorFunction(E2,A2:A13,TRUE)</f>
        <v>10</v>
      </c>
      <c r="F3" t="str">
        <f ca="1">_xlfn.FORMULATEXT(C3)</f>
        <v>=ColorFunction(E2,A2:A13,TRUE)</v>
      </c>
    </row>
    <row r="4" spans="1:7" x14ac:dyDescent="0.25">
      <c r="A4" s="8">
        <v>5</v>
      </c>
      <c r="G4" s="3" t="s">
        <v>118</v>
      </c>
    </row>
    <row r="5" spans="1:7" x14ac:dyDescent="0.25">
      <c r="A5" s="2">
        <v>3</v>
      </c>
      <c r="G5" t="s">
        <v>119</v>
      </c>
    </row>
    <row r="6" spans="1:7" x14ac:dyDescent="0.25">
      <c r="A6" s="7">
        <v>5</v>
      </c>
    </row>
    <row r="7" spans="1:7" x14ac:dyDescent="0.25">
      <c r="A7" s="2">
        <v>8</v>
      </c>
    </row>
    <row r="8" spans="1:7" x14ac:dyDescent="0.25">
      <c r="A8" s="2">
        <v>9</v>
      </c>
    </row>
    <row r="9" spans="1:7" x14ac:dyDescent="0.25">
      <c r="A9" s="8">
        <v>5</v>
      </c>
    </row>
    <row r="10" spans="1:7" x14ac:dyDescent="0.25">
      <c r="A10" s="7">
        <v>4</v>
      </c>
    </row>
    <row r="11" spans="1:7" x14ac:dyDescent="0.25">
      <c r="A11" s="2">
        <v>7</v>
      </c>
    </row>
    <row r="12" spans="1:7" x14ac:dyDescent="0.25">
      <c r="A12" s="2">
        <v>5</v>
      </c>
    </row>
    <row r="13" spans="1:7" x14ac:dyDescent="0.25">
      <c r="A13" s="2">
        <v>4</v>
      </c>
    </row>
    <row r="17" spans="1:1" x14ac:dyDescent="0.25">
      <c r="A17"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000FF"/>
  </sheetPr>
  <dimension ref="A1:D8"/>
  <sheetViews>
    <sheetView zoomScale="160" zoomScaleNormal="160" workbookViewId="0">
      <selection activeCell="A2" sqref="A2"/>
    </sheetView>
  </sheetViews>
  <sheetFormatPr defaultRowHeight="15" x14ac:dyDescent="0.25"/>
  <cols>
    <col min="1" max="1" width="13" customWidth="1"/>
    <col min="2" max="2" width="18.140625" bestFit="1" customWidth="1"/>
    <col min="4" max="4" width="14.140625" bestFit="1" customWidth="1"/>
  </cols>
  <sheetData>
    <row r="1" spans="1:4" x14ac:dyDescent="0.25">
      <c r="A1" s="4" t="s">
        <v>123</v>
      </c>
      <c r="B1" s="4" t="s">
        <v>122</v>
      </c>
      <c r="C1" s="4" t="s">
        <v>124</v>
      </c>
      <c r="D1" s="4" t="s">
        <v>125</v>
      </c>
    </row>
    <row r="2" spans="1:4" x14ac:dyDescent="0.25">
      <c r="A2" s="25"/>
      <c r="B2" s="2"/>
      <c r="C2" s="2"/>
      <c r="D2" s="26"/>
    </row>
    <row r="8" spans="1:4" x14ac:dyDescent="0.25">
      <c r="A8" t="s">
        <v>133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AddRecordToExistingDataSet">
                <anchor moveWithCells="1" sizeWithCells="1">
                  <from>
                    <xdr:col>1</xdr:col>
                    <xdr:colOff>200025</xdr:colOff>
                    <xdr:row>3</xdr:row>
                    <xdr:rowOff>28575</xdr:rowOff>
                  </from>
                  <to>
                    <xdr:col>2</xdr:col>
                    <xdr:colOff>514350</xdr:colOff>
                    <xdr:row>5</xdr:row>
                    <xdr:rowOff>95250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9" tint="-0.249977111117893"/>
  </sheetPr>
  <dimension ref="A1:D5"/>
  <sheetViews>
    <sheetView tabSelected="1" zoomScale="115" zoomScaleNormal="115" workbookViewId="0">
      <selection activeCell="A6" sqref="A6"/>
    </sheetView>
  </sheetViews>
  <sheetFormatPr defaultRowHeight="15" x14ac:dyDescent="0.25"/>
  <cols>
    <col min="1" max="1" width="11" customWidth="1"/>
    <col min="2" max="2" width="19.140625" customWidth="1"/>
    <col min="3" max="3" width="13.5703125" customWidth="1"/>
    <col min="4" max="4" width="10.28515625" customWidth="1"/>
  </cols>
  <sheetData>
    <row r="1" spans="1:4" x14ac:dyDescent="0.25">
      <c r="A1" s="4" t="s">
        <v>123</v>
      </c>
      <c r="B1" s="4" t="s">
        <v>122</v>
      </c>
      <c r="C1" s="4" t="s">
        <v>124</v>
      </c>
      <c r="D1" s="4" t="s">
        <v>125</v>
      </c>
    </row>
    <row r="2" spans="1:4" x14ac:dyDescent="0.25">
      <c r="A2" s="25">
        <v>42558</v>
      </c>
      <c r="B2" s="2" t="s">
        <v>126</v>
      </c>
      <c r="C2" s="2" t="s">
        <v>127</v>
      </c>
      <c r="D2" s="26">
        <v>198</v>
      </c>
    </row>
    <row r="3" spans="1:4" x14ac:dyDescent="0.25">
      <c r="A3" s="25">
        <v>42584</v>
      </c>
      <c r="B3" s="2" t="s">
        <v>152</v>
      </c>
      <c r="C3" s="2" t="s">
        <v>153</v>
      </c>
      <c r="D3" s="26">
        <v>1200</v>
      </c>
    </row>
    <row r="4" spans="1:4" x14ac:dyDescent="0.25">
      <c r="A4" s="25">
        <v>35846</v>
      </c>
      <c r="B4" s="2" t="s">
        <v>151</v>
      </c>
      <c r="C4" s="2" t="s">
        <v>154</v>
      </c>
      <c r="D4" s="26">
        <v>1000</v>
      </c>
    </row>
    <row r="5" spans="1:4" x14ac:dyDescent="0.25">
      <c r="A5" s="25">
        <v>35846</v>
      </c>
      <c r="B5" s="2" t="s">
        <v>155</v>
      </c>
      <c r="C5" s="2"/>
      <c r="D5" s="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Topics</vt:lpstr>
      <vt:lpstr>MacroNotes</vt:lpstr>
      <vt:lpstr>M1.1</vt:lpstr>
      <vt:lpstr>M1.2</vt:lpstr>
      <vt:lpstr>M1.3</vt:lpstr>
      <vt:lpstr>M2.1</vt:lpstr>
      <vt:lpstr>M2.2</vt:lpstr>
      <vt:lpstr>M2.3</vt:lpstr>
      <vt:lpstr>M3.1</vt:lpstr>
      <vt:lpstr>M3.2</vt:lpstr>
      <vt:lpstr>M3.3</vt:lpstr>
      <vt:lpstr>M3.4</vt:lpstr>
      <vt:lpstr>M3.5</vt:lpstr>
      <vt:lpstr>M3.6</vt:lpstr>
      <vt:lpstr>M4</vt:lpstr>
      <vt:lpstr>M5</vt:lpstr>
      <vt:lpstr>M6</vt:lpstr>
      <vt:lpstr>ProperDataSet</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Ngoc Dinh</cp:lastModifiedBy>
  <dcterms:created xsi:type="dcterms:W3CDTF">2013-12-24T19:27:31Z</dcterms:created>
  <dcterms:modified xsi:type="dcterms:W3CDTF">2018-09-26T07:14:05Z</dcterms:modified>
</cp:coreProperties>
</file>