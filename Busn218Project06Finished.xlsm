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DD04200D-8A23-47C7-8CFA-F5C3996204B3}" xr6:coauthVersionLast="37" xr6:coauthVersionMax="37" xr10:uidLastSave="{00000000-0000-0000-0000-000000000000}"/>
  <bookViews>
    <workbookView xWindow="0" yWindow="0" windowWidth="24000" windowHeight="8685" firstSheet="1" activeTab="5" xr2:uid="{00000000-000D-0000-FFFF-FFFF00000000}"/>
  </bookViews>
  <sheets>
    <sheet name="Score" sheetId="3" state="veryHidden" r:id="rId1"/>
    <sheet name="Daily Sales" sheetId="4" r:id="rId2"/>
    <sheet name="Product Region" sheetId="5" r:id="rId3"/>
    <sheet name="SalesRepRev" sheetId="6" r:id="rId4"/>
    <sheet name="P(1)" sheetId="1" r:id="rId5"/>
    <sheet name="Dashboard" sheetId="2" r:id="rId6"/>
  </sheets>
  <calcPr calcId="179021"/>
  <pivotCaches>
    <pivotCache cacheId="3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3" l="1"/>
  <c r="B13" i="3"/>
  <c r="D12" i="3"/>
  <c r="C12" i="3"/>
  <c r="C11" i="3"/>
  <c r="D11" i="3" s="1"/>
  <c r="C10" i="3"/>
  <c r="D10" i="3" s="1"/>
  <c r="C9" i="3"/>
  <c r="D9" i="3" s="1"/>
  <c r="C8" i="3"/>
  <c r="D8" i="3" s="1"/>
  <c r="C7" i="3"/>
  <c r="D7" i="3" s="1"/>
  <c r="C6" i="3"/>
  <c r="D6" i="3" s="1"/>
  <c r="C5" i="3"/>
  <c r="D5" i="3" s="1"/>
  <c r="C4" i="3"/>
  <c r="D4" i="3" s="1"/>
  <c r="C3" i="3"/>
  <c r="D3" i="3" s="1"/>
  <c r="C2" i="3"/>
  <c r="C14" i="3" s="1"/>
  <c r="D2" i="3" l="1"/>
</calcChain>
</file>

<file path=xl/sharedStrings.xml><?xml version="1.0" encoding="utf-8"?>
<sst xmlns="http://schemas.openxmlformats.org/spreadsheetml/2006/main" count="169" uniqueCount="46">
  <si>
    <t>Date</t>
  </si>
  <si>
    <t>Sales Rep</t>
  </si>
  <si>
    <t>Region</t>
  </si>
  <si>
    <t>Sales</t>
  </si>
  <si>
    <t>Sioux</t>
  </si>
  <si>
    <t>Timmy</t>
  </si>
  <si>
    <t>Dwan</t>
  </si>
  <si>
    <t>Chin</t>
  </si>
  <si>
    <t>West</t>
  </si>
  <si>
    <t>East</t>
  </si>
  <si>
    <t>South</t>
  </si>
  <si>
    <t>Product</t>
  </si>
  <si>
    <t>Quad</t>
  </si>
  <si>
    <t>Carlota</t>
  </si>
  <si>
    <t>Sunshine</t>
  </si>
  <si>
    <t>Majestic Beaut</t>
  </si>
  <si>
    <t>Yanaki</t>
  </si>
  <si>
    <t>Aspen</t>
  </si>
  <si>
    <t>Flattop</t>
  </si>
  <si>
    <t>MTA</t>
  </si>
  <si>
    <t>Below in the table named "TransactionTable".</t>
  </si>
  <si>
    <t>New Records that you should add to the table names "Transaction Table":</t>
  </si>
  <si>
    <t>and then place the final visualizations on the sheet named "Dashboard".</t>
  </si>
  <si>
    <t>When you have completed the Dashboard, add the new records listed to the right to the bottom of</t>
  </si>
  <si>
    <t>the "TransactionTable". Then refresh your dashboard.</t>
  </si>
  <si>
    <t>Create the necessary PivotTables, Charts and Conditional Formatting on new sheets</t>
  </si>
  <si>
    <t>Northwest</t>
  </si>
  <si>
    <t>You do not need to use Power Pivot or the Data Model for this project.</t>
  </si>
  <si>
    <t>Your job is to make the dashboard that is pictured to right and below on the sheet that is named "Dashboard".</t>
  </si>
  <si>
    <t>What Dashboard should look like Before New Data:</t>
  </si>
  <si>
    <t>What Dashboard should look like After New Data:</t>
  </si>
  <si>
    <t>Graded Element</t>
  </si>
  <si>
    <t>Possible Points</t>
  </si>
  <si>
    <t>Your Points</t>
  </si>
  <si>
    <t>Comments</t>
  </si>
  <si>
    <t>Total Possible:</t>
  </si>
  <si>
    <t>Line Chart Pivot</t>
  </si>
  <si>
    <t>Line Chart with no chart junk</t>
  </si>
  <si>
    <t>Cross Tab Pivot</t>
  </si>
  <si>
    <t>Conditional Formatting Top 5</t>
  </si>
  <si>
    <t>Sales Rep Pivot</t>
  </si>
  <si>
    <t>Sales Rep Bar Chart</t>
  </si>
  <si>
    <t>Dashboard Neat</t>
  </si>
  <si>
    <t>Other</t>
  </si>
  <si>
    <t>Grand Total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</si>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</sst>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165" fontId="0" fillId="0" borderId="1" xfId="0" applyNumberFormat="1" applyBorder="1"/>
    <xf numFmtId="164" fontId="0" fillId="0" borderId="2" xfId="0" applyNumberFormat="1" applyBorder="1"/>
    <xf numFmtId="165" fontId="0" fillId="0" borderId="8" xfId="0" applyNumberFormat="1" applyBorder="1"/>
    <xf numFmtId="0" fontId="1" fillId="0" borderId="9" xfId="0" applyFont="1" applyBorder="1"/>
    <xf numFmtId="0" fontId="1" fillId="0" borderId="7" xfId="0" applyFont="1" applyBorder="1"/>
    <xf numFmtId="0" fontId="1" fillId="0" borderId="10" xfId="0" applyFont="1" applyBorder="1"/>
    <xf numFmtId="164" fontId="0" fillId="0" borderId="11" xfId="0" applyNumberFormat="1" applyBorder="1"/>
    <xf numFmtId="165" fontId="0" fillId="0" borderId="12" xfId="0" applyNumberFormat="1" applyBorder="1"/>
    <xf numFmtId="0" fontId="0" fillId="2" borderId="12" xfId="0" applyFill="1" applyBorder="1"/>
    <xf numFmtId="0" fontId="0" fillId="2" borderId="5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0" xfId="0" applyFill="1" applyBorder="1"/>
    <xf numFmtId="0" fontId="0" fillId="2" borderId="14" xfId="0" applyFill="1" applyBorder="1"/>
    <xf numFmtId="0" fontId="0" fillId="2" borderId="10" xfId="0" applyFill="1" applyBorder="1"/>
    <xf numFmtId="0" fontId="0" fillId="2" borderId="4" xfId="0" applyFill="1" applyBorder="1"/>
    <xf numFmtId="0" fontId="0" fillId="2" borderId="9" xfId="0" applyFill="1" applyBorder="1"/>
    <xf numFmtId="0" fontId="2" fillId="3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3" fillId="0" borderId="0" xfId="0" applyFont="1"/>
    <xf numFmtId="0" fontId="1" fillId="0" borderId="0" xfId="0" applyFont="1" applyAlignment="1">
      <alignment horizontal="right"/>
    </xf>
    <xf numFmtId="0" fontId="0" fillId="4" borderId="1" xfId="0" applyFill="1" applyBorder="1"/>
    <xf numFmtId="0" fontId="1" fillId="0" borderId="0" xfId="0" applyFont="1"/>
    <xf numFmtId="0" fontId="0" fillId="0" borderId="0" xfId="0" pivotButton="1"/>
    <xf numFmtId="164" fontId="0" fillId="0" borderId="0" xfId="0" applyNumberFormat="1"/>
    <xf numFmtId="0" fontId="0" fillId="0" borderId="0" xfId="0" applyNumberFormat="1"/>
    <xf numFmtId="0" fontId="0" fillId="5" borderId="0" xfId="0" applyFill="1"/>
    <xf numFmtId="0" fontId="0" fillId="5" borderId="0" xfId="0" pivotButton="1" applyFill="1"/>
  </cellXfs>
  <cellStyles count="1">
    <cellStyle name="Normal" xfId="0" builtinId="0"/>
  </cellStyles>
  <dxfs count="30"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1"/>
      </font>
      <fill>
        <patternFill>
          <bgColor theme="4" tint="-0.24994659260841701"/>
        </patternFill>
      </fill>
    </dxf>
    <dxf>
      <font>
        <color rgb="FF9C0006"/>
      </font>
      <fill>
        <patternFill>
          <bgColor theme="4" tint="0.39994506668294322"/>
        </patternFill>
      </fill>
    </dxf>
    <dxf>
      <numFmt numFmtId="165" formatCode="&quot;$&quot;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F800]dddd\,\ mmmm\ dd\,\ 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[Busn218Project06.xlsm]SalesRepRev!PivotTable5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of Sales Rep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SalesRepRev!$B$3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SalesRepRev!$A$4:$A$8</c:f>
              <c:strCache>
                <c:ptCount val="4"/>
                <c:pt idx="0">
                  <c:v>Chin</c:v>
                </c:pt>
                <c:pt idx="1">
                  <c:v>Dwan</c:v>
                </c:pt>
                <c:pt idx="2">
                  <c:v>Sioux</c:v>
                </c:pt>
                <c:pt idx="3">
                  <c:v>Timmy</c:v>
                </c:pt>
              </c:strCache>
            </c:strRef>
          </c:cat>
          <c:val>
            <c:numRef>
              <c:f>SalesRepRev!$B$4:$B$8</c:f>
              <c:numCache>
                <c:formatCode>General</c:formatCode>
                <c:ptCount val="4"/>
                <c:pt idx="0">
                  <c:v>8615</c:v>
                </c:pt>
                <c:pt idx="1">
                  <c:v>18866</c:v>
                </c:pt>
                <c:pt idx="2">
                  <c:v>6965</c:v>
                </c:pt>
                <c:pt idx="3">
                  <c:v>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0-476B-9B5A-1445EA6071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385911200"/>
        <c:axId val="1339743184"/>
      </c:barChart>
      <c:catAx>
        <c:axId val="1385911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743184"/>
        <c:crosses val="autoZero"/>
        <c:auto val="1"/>
        <c:lblAlgn val="ctr"/>
        <c:lblOffset val="100"/>
        <c:noMultiLvlLbl val="0"/>
      </c:catAx>
      <c:valAx>
        <c:axId val="13397431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859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[Busn218Project06.xlsm]SalesRepRev!PivotTable5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of Sales Rep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880676680120872E-2"/>
          <c:y val="0.17634259259259263"/>
          <c:w val="0.88626498158318445"/>
          <c:h val="0.777361111111111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SalesRepRev!$B$3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SalesRepRev!$A$4:$A$8</c:f>
              <c:strCache>
                <c:ptCount val="4"/>
                <c:pt idx="0">
                  <c:v>Chin</c:v>
                </c:pt>
                <c:pt idx="1">
                  <c:v>Dwan</c:v>
                </c:pt>
                <c:pt idx="2">
                  <c:v>Sioux</c:v>
                </c:pt>
                <c:pt idx="3">
                  <c:v>Timmy</c:v>
                </c:pt>
              </c:strCache>
            </c:strRef>
          </c:cat>
          <c:val>
            <c:numRef>
              <c:f>SalesRepRev!$B$4:$B$8</c:f>
              <c:numCache>
                <c:formatCode>General</c:formatCode>
                <c:ptCount val="4"/>
                <c:pt idx="0">
                  <c:v>8615</c:v>
                </c:pt>
                <c:pt idx="1">
                  <c:v>18866</c:v>
                </c:pt>
                <c:pt idx="2">
                  <c:v>6965</c:v>
                </c:pt>
                <c:pt idx="3">
                  <c:v>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C8-4D58-B195-DF018453809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385911200"/>
        <c:axId val="1339743184"/>
      </c:barChart>
      <c:catAx>
        <c:axId val="1385911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743184"/>
        <c:crosses val="autoZero"/>
        <c:auto val="1"/>
        <c:lblAlgn val="ctr"/>
        <c:lblOffset val="100"/>
        <c:noMultiLvlLbl val="0"/>
      </c:catAx>
      <c:valAx>
        <c:axId val="13397431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859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[Busn218Project06.xlsm]Daily Sales!PivotTable2</c:name>
    <c:fmtId val="4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Sale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'Daily Sales'!$B$3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'Daily Sales'!$A$4:$A$9</c:f>
              <c:strCache>
                <c:ptCount val="5"/>
                <c:pt idx="0">
                  <c:v>Thursday, May 12, 2016</c:v>
                </c:pt>
                <c:pt idx="1">
                  <c:v>Friday, May 13, 2016</c:v>
                </c:pt>
                <c:pt idx="2">
                  <c:v>Saturday, May 14, 2016</c:v>
                </c:pt>
                <c:pt idx="3">
                  <c:v>Sunday, May 15, 2016</c:v>
                </c:pt>
                <c:pt idx="4">
                  <c:v>Monday, May 16, 2016</c:v>
                </c:pt>
              </c:strCache>
            </c:strRef>
          </c:cat>
          <c:val>
            <c:numRef>
              <c:f>'Daily Sales'!$B$4:$B$9</c:f>
              <c:numCache>
                <c:formatCode>General</c:formatCode>
                <c:ptCount val="5"/>
                <c:pt idx="0">
                  <c:v>6666</c:v>
                </c:pt>
                <c:pt idx="1">
                  <c:v>7735</c:v>
                </c:pt>
                <c:pt idx="2">
                  <c:v>4227</c:v>
                </c:pt>
                <c:pt idx="3">
                  <c:v>11766</c:v>
                </c:pt>
                <c:pt idx="4">
                  <c:v>12030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CE-4350-929C-1870F574D7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85914000"/>
        <c:axId val="1339798928"/>
      </c:lineChart>
      <c:catAx>
        <c:axId val="138591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798928"/>
        <c:crosses val="autoZero"/>
        <c:auto val="1"/>
        <c:lblAlgn val="ctr"/>
        <c:lblOffset val="100"/>
        <c:noMultiLvlLbl val="0"/>
      </c:catAx>
      <c:valAx>
        <c:axId val="1339798928"/>
        <c:scaling>
          <c:orientation val="minMax"/>
          <c:min val="30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8591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/>
    </cs:fontRef>
    <cs:defRPr sz="1000" kern="1200"/>
  </cs:axisTitle>
  <cs:categoryAxis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9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/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/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/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/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/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201707</xdr:colOff>
      <xdr:row>0</xdr:row>
      <xdr:rowOff>369794</xdr:rowOff>
    </xdr:from>
    <xdr:to>
      <xdr:col>20</xdr:col>
      <xdr:colOff>426463</xdr:colOff>
      <xdr:row>29</xdr:row>
      <xdr:rowOff>13651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5383" y="369794"/>
          <a:ext cx="9906639" cy="5358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276224</xdr:colOff>
      <xdr:row>0</xdr:row>
      <xdr:rowOff>0</xdr:rowOff>
    </xdr:from>
    <xdr:to>
      <xdr:col>16</xdr:col>
      <xdr:colOff>95124</xdr:colOff>
      <xdr:row>23</xdr:row>
      <xdr:rowOff>56223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CF0EF8-4F0E-452E-ADCA-3DA31F43E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4" y="0"/>
          <a:ext cx="8305675" cy="44377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6</xdr:row>
      <xdr:rowOff>14287</xdr:rowOff>
    </xdr:from>
    <xdr:to>
      <xdr:col>13</xdr:col>
      <xdr:colOff>66675</xdr:colOff>
      <xdr:row>20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94B160-0832-418D-846E-F9DB426767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33617</xdr:colOff>
      <xdr:row>54</xdr:row>
      <xdr:rowOff>161976</xdr:rowOff>
    </xdr:from>
    <xdr:to>
      <xdr:col>23</xdr:col>
      <xdr:colOff>240444</xdr:colOff>
      <xdr:row>82</xdr:row>
      <xdr:rowOff>186833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8793" y="10448976"/>
          <a:ext cx="9978357" cy="53588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361949</xdr:colOff>
      <xdr:row>0</xdr:row>
      <xdr:rowOff>104775</xdr:rowOff>
    </xdr:from>
    <xdr:to>
      <xdr:col>18</xdr:col>
      <xdr:colOff>542924</xdr:colOff>
      <xdr:row>14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62D5FF-D01D-4A0E-9996-EB9D5E1FD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123825</xdr:rowOff>
    </xdr:from>
    <xdr:to>
      <xdr:col>9</xdr:col>
      <xdr:colOff>381000</xdr:colOff>
      <xdr:row>14</xdr:row>
      <xdr:rowOff>171450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19C7A41-D1DD-4E85-B790-8B7738AD5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15</xdr:row>
          <xdr:rowOff>0</xdr:rowOff>
        </xdr:from>
        <xdr:to>
          <xdr:col>10</xdr:col>
          <xdr:colOff>429703</xdr:colOff>
          <xdr:row>27</xdr:row>
          <xdr:rowOff>47625</xdr:rowOff>
        </xdr:to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C833C3DD-6F62-4AC7-BD49-D3A949AD9D7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ct Region'!$A$3:$F$13" spid="_x0000_s410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" y="2857500"/>
              <a:ext cx="6525702" cy="23336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 Dinh" refreshedDate="43362.987940162035" createdVersion="6" refreshedVersion="6" minRefreshableVersion="3" recordCount="20" xr:uid="{D67602A3-CB12-4D36-999C-53085D8E3C4E}">
  <cacheSource type="worksheet">
    <worksheetSource name="TransactionTAble"/>
  </cacheSource>
  <cacheFields count="5">
    <cacheField name="Date" numFmtId="164">
      <sharedItems containsSemiMixedTypes="0" containsNonDate="0" containsDate="1" containsString="0" minDate="2016-05-12T00:00:00" maxDate="2016-05-17T00:00:00" count="5">
        <d v="2016-05-12T00:00:00"/>
        <d v="2016-05-13T00:00:00"/>
        <d v="2016-05-14T00:00:00"/>
        <d v="2016-05-15T00:00:00"/>
        <d v="2016-05-16T00:00:00"/>
      </sharedItems>
    </cacheField>
    <cacheField name="Sales Rep" numFmtId="0">
      <sharedItems count="4">
        <s v="Sioux"/>
        <s v="Timmy"/>
        <s v="Dwan"/>
        <s v="Chin"/>
      </sharedItems>
    </cacheField>
    <cacheField name="Region" numFmtId="0">
      <sharedItems count="4">
        <s v="South"/>
        <s v="West"/>
        <s v="Northwest"/>
        <s v="East"/>
      </sharedItems>
    </cacheField>
    <cacheField name="Product" numFmtId="0">
      <sharedItems count="8">
        <s v="Majestic Beaut"/>
        <s v="Yanaki"/>
        <s v="Aspen"/>
        <s v="Quad"/>
        <s v="Flattop"/>
        <s v="Sunshine"/>
        <s v="MTA"/>
        <s v="Carlota"/>
      </sharedItems>
    </cacheField>
    <cacheField name="Sales" numFmtId="165">
      <sharedItems containsSemiMixedTypes="0" containsString="0" containsNumber="1" containsInteger="1" minValue="493" maxValue="40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n v="1090"/>
  </r>
  <r>
    <x v="0"/>
    <x v="1"/>
    <x v="1"/>
    <x v="0"/>
    <n v="1600"/>
  </r>
  <r>
    <x v="0"/>
    <x v="2"/>
    <x v="0"/>
    <x v="1"/>
    <n v="1825"/>
  </r>
  <r>
    <x v="0"/>
    <x v="1"/>
    <x v="1"/>
    <x v="2"/>
    <n v="2151"/>
  </r>
  <r>
    <x v="1"/>
    <x v="2"/>
    <x v="1"/>
    <x v="3"/>
    <n v="903"/>
  </r>
  <r>
    <x v="1"/>
    <x v="0"/>
    <x v="2"/>
    <x v="3"/>
    <n v="1158"/>
  </r>
  <r>
    <x v="1"/>
    <x v="3"/>
    <x v="2"/>
    <x v="4"/>
    <n v="692"/>
  </r>
  <r>
    <x v="1"/>
    <x v="2"/>
    <x v="0"/>
    <x v="0"/>
    <n v="3323"/>
  </r>
  <r>
    <x v="1"/>
    <x v="0"/>
    <x v="3"/>
    <x v="5"/>
    <n v="1659"/>
  </r>
  <r>
    <x v="2"/>
    <x v="1"/>
    <x v="0"/>
    <x v="6"/>
    <n v="1870"/>
  </r>
  <r>
    <x v="2"/>
    <x v="1"/>
    <x v="0"/>
    <x v="7"/>
    <n v="2357"/>
  </r>
  <r>
    <x v="3"/>
    <x v="2"/>
    <x v="0"/>
    <x v="2"/>
    <n v="2241"/>
  </r>
  <r>
    <x v="3"/>
    <x v="3"/>
    <x v="3"/>
    <x v="5"/>
    <n v="3506"/>
  </r>
  <r>
    <x v="3"/>
    <x v="3"/>
    <x v="1"/>
    <x v="3"/>
    <n v="1661"/>
  </r>
  <r>
    <x v="3"/>
    <x v="0"/>
    <x v="3"/>
    <x v="2"/>
    <n v="493"/>
  </r>
  <r>
    <x v="3"/>
    <x v="2"/>
    <x v="2"/>
    <x v="7"/>
    <n v="3865"/>
  </r>
  <r>
    <x v="4"/>
    <x v="3"/>
    <x v="0"/>
    <x v="2"/>
    <n v="2756"/>
  </r>
  <r>
    <x v="4"/>
    <x v="2"/>
    <x v="1"/>
    <x v="0"/>
    <n v="4089"/>
  </r>
  <r>
    <x v="4"/>
    <x v="2"/>
    <x v="3"/>
    <x v="2"/>
    <n v="2620"/>
  </r>
  <r>
    <x v="4"/>
    <x v="0"/>
    <x v="1"/>
    <x v="2"/>
    <n v="25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9F17D-1A0C-4786-A00B-9279D92FA9D6}" name="PivotTable2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45">
  <location ref="A3:B9" firstHeaderRow="1" firstDataRow="1" firstDataCol="1"/>
  <pivotFields count="5">
    <pivotField axis="axisRow" compact="0" numFmtId="164" outline="0" subtotalTop="0" showAll="0">
      <items count="6">
        <item x="0"/>
        <item x="1"/>
        <item x="2"/>
        <item x="3"/>
        <item x="4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numFmtId="165" outline="0" subtotalTop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4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EA26B0-248D-4FB8-9EED-1487883DAB15}" name="PivotTable3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F13" firstHeaderRow="1" firstDataRow="2" firstDataCol="1"/>
  <pivotFields count="5">
    <pivotField compact="0" numFmtId="164" outline="0" subtotalTop="0" showAll="0"/>
    <pivotField compact="0" outline="0" subtotalTop="0" showAll="0"/>
    <pivotField axis="axisCol" compact="0" outline="0" subtotalTop="0" showAll="0">
      <items count="5">
        <item x="3"/>
        <item x="2"/>
        <item x="0"/>
        <item x="1"/>
        <item t="default"/>
      </items>
    </pivotField>
    <pivotField axis="axisRow" compact="0" outline="0" subtotalTop="0" showAll="0">
      <items count="9">
        <item x="2"/>
        <item x="7"/>
        <item x="4"/>
        <item x="0"/>
        <item x="6"/>
        <item x="3"/>
        <item x="5"/>
        <item x="1"/>
        <item t="default"/>
      </items>
    </pivotField>
    <pivotField dataField="1" compact="0" numFmtId="165" outline="0" subtotalTop="0"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4" baseField="0" baseItem="0"/>
  </dataFields>
  <conditionalFormats count="1">
    <conditionalFormat scope="field" type="all" priority="1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2" count="0" selected="0"/>
            <reference field="3" count="0" selected="0"/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0DB841-CD16-4070-8659-1CD32ABDCA91}" name="PivotTable5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5">
  <location ref="A3:B8" firstHeaderRow="1" firstDataRow="1" firstDataCol="1"/>
  <pivotFields count="5">
    <pivotField compact="0" numFmtId="164" outline="0" subtotalTop="0" showAll="0"/>
    <pivotField axis="axisRow" compact="0" outline="0" subtotalTop="0" showAll="0">
      <items count="5">
        <item x="3"/>
        <item x="2"/>
        <item x="0"/>
        <item x="1"/>
        <item t="default"/>
      </items>
    </pivotField>
    <pivotField compact="0" outline="0" subtotalTop="0" showAll="0"/>
    <pivotField compact="0" outline="0" subtotalTop="0" showAll="0"/>
    <pivotField dataField="1" compact="0" numFmtId="165" outline="0" subtotalTop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4" baseField="0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RepTable" displayName="SalesRepTable" ref="AJ9:AJ13" totalsRowShown="0" headerRowDxfId="27" headerRowBorderDxfId="26" tableBorderDxfId="25" totalsRowBorderDxfId="24">
  <autoFilter ref="AJ9:AJ13" xr:uid="{00000000-0009-0000-0100-000001000000}"/>
  <tableColumns count="1">
    <tableColumn id="1" xr3:uid="{00000000-0010-0000-0000-000001000000}" name="Sales Rep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egionTable" displayName="RegionTable" ref="AL9:AL14" totalsRowShown="0" headerRowDxfId="22" headerRowBorderDxfId="21" tableBorderDxfId="20" totalsRowBorderDxfId="19">
  <autoFilter ref="AL9:AL14" xr:uid="{00000000-0009-0000-0100-000002000000}"/>
  <tableColumns count="1">
    <tableColumn id="1" xr3:uid="{00000000-0010-0000-0100-000001000000}" name="Region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Table" displayName="ProductTable" ref="AN9:AN17" totalsRowShown="0" headerRowDxfId="17" headerRowBorderDxfId="16" tableBorderDxfId="15" totalsRowBorderDxfId="14">
  <autoFilter ref="AN9:AN17" xr:uid="{00000000-0009-0000-0100-000003000000}"/>
  <tableColumns count="1">
    <tableColumn id="1" xr3:uid="{00000000-0010-0000-0200-000001000000}" name="Product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ransactionTAble" displayName="TransactionTAble" ref="A9:E29" totalsRowShown="0" headerRowDxfId="12" headerRowBorderDxfId="11" tableBorderDxfId="10" totalsRowBorderDxfId="9">
  <autoFilter ref="A9:E29" xr:uid="{00000000-0009-0000-0100-000005000000}"/>
  <tableColumns count="5">
    <tableColumn id="1" xr3:uid="{00000000-0010-0000-0300-000001000000}" name="Date" dataDxfId="8"/>
    <tableColumn id="2" xr3:uid="{00000000-0010-0000-0300-000002000000}" name="Sales Rep" dataDxfId="7"/>
    <tableColumn id="3" xr3:uid="{00000000-0010-0000-0300-000003000000}" name="Region" dataDxfId="6"/>
    <tableColumn id="4" xr3:uid="{00000000-0010-0000-0300-000004000000}" name="Product" dataDxfId="5"/>
    <tableColumn id="5" xr3:uid="{00000000-0010-0000-0300-000005000000}" name="Sales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D14"/>
  <sheetViews>
    <sheetView zoomScale="85" zoomScaleNormal="85" workbookViewId="0">
      <selection activeCell="C14" sqref="C14"/>
    </sheetView>
  </sheetViews>
  <sheetFormatPr defaultRowHeight="15" x14ac:dyDescent="0.25"/>
  <cols>
    <col min="1" max="1" width="56.28515625" customWidth="1"/>
    <col min="2" max="2" width="14" customWidth="1"/>
    <col min="3" max="3" width="14.42578125" customWidth="1"/>
    <col min="4" max="4" width="77.42578125" customWidth="1"/>
  </cols>
  <sheetData>
    <row r="1" spans="1:4" ht="30" x14ac:dyDescent="0.25">
      <c r="A1" s="25" t="s">
        <v>31</v>
      </c>
      <c r="B1" s="25" t="s">
        <v>32</v>
      </c>
      <c r="C1" s="25" t="s">
        <v>33</v>
      </c>
      <c r="D1" s="25" t="s">
        <v>34</v>
      </c>
    </row>
    <row r="2" spans="1:4" x14ac:dyDescent="0.25">
      <c r="A2" s="26" t="s">
        <v>36</v>
      </c>
      <c r="B2" s="2">
        <v>3</v>
      </c>
      <c r="C2" s="2">
        <f t="shared" ref="C2:C11" si="0">B2</f>
        <v>3</v>
      </c>
      <c r="D2" s="26" t="str">
        <f>IF(B2&lt;&gt;C2,K2,"")</f>
        <v/>
      </c>
    </row>
    <row r="3" spans="1:4" x14ac:dyDescent="0.25">
      <c r="A3" s="26" t="s">
        <v>37</v>
      </c>
      <c r="B3" s="2">
        <v>3</v>
      </c>
      <c r="C3" s="2">
        <f t="shared" si="0"/>
        <v>3</v>
      </c>
      <c r="D3" s="26" t="str">
        <f t="shared" ref="D3:D11" si="1">IF(B3&lt;&gt;C3,K3,"")</f>
        <v/>
      </c>
    </row>
    <row r="4" spans="1:4" x14ac:dyDescent="0.25">
      <c r="A4" s="26" t="s">
        <v>38</v>
      </c>
      <c r="B4" s="2">
        <v>3</v>
      </c>
      <c r="C4" s="2">
        <f t="shared" si="0"/>
        <v>3</v>
      </c>
      <c r="D4" s="26" t="str">
        <f t="shared" si="1"/>
        <v/>
      </c>
    </row>
    <row r="5" spans="1:4" x14ac:dyDescent="0.25">
      <c r="A5" s="26" t="s">
        <v>39</v>
      </c>
      <c r="B5" s="2">
        <v>3</v>
      </c>
      <c r="C5" s="2">
        <f t="shared" si="0"/>
        <v>3</v>
      </c>
      <c r="D5" s="26" t="str">
        <f t="shared" si="1"/>
        <v/>
      </c>
    </row>
    <row r="6" spans="1:4" x14ac:dyDescent="0.25">
      <c r="A6" s="26" t="s">
        <v>40</v>
      </c>
      <c r="B6" s="2">
        <v>3</v>
      </c>
      <c r="C6" s="2">
        <f t="shared" si="0"/>
        <v>3</v>
      </c>
      <c r="D6" s="26" t="str">
        <f t="shared" si="1"/>
        <v/>
      </c>
    </row>
    <row r="7" spans="1:4" x14ac:dyDescent="0.25">
      <c r="A7" s="26" t="s">
        <v>41</v>
      </c>
      <c r="B7" s="2">
        <v>3</v>
      </c>
      <c r="C7" s="2">
        <f t="shared" si="0"/>
        <v>3</v>
      </c>
      <c r="D7" s="26" t="str">
        <f t="shared" si="1"/>
        <v/>
      </c>
    </row>
    <row r="8" spans="1:4" x14ac:dyDescent="0.25">
      <c r="A8" s="26" t="s">
        <v>42</v>
      </c>
      <c r="B8" s="2">
        <v>3</v>
      </c>
      <c r="C8" s="2">
        <f t="shared" si="0"/>
        <v>3</v>
      </c>
      <c r="D8" s="26" t="str">
        <f t="shared" si="1"/>
        <v/>
      </c>
    </row>
    <row r="9" spans="1:4" x14ac:dyDescent="0.25">
      <c r="A9" s="26" t="s">
        <v>43</v>
      </c>
      <c r="B9" s="2">
        <v>3</v>
      </c>
      <c r="C9" s="2">
        <f t="shared" si="0"/>
        <v>3</v>
      </c>
      <c r="D9" s="26" t="str">
        <f t="shared" si="1"/>
        <v/>
      </c>
    </row>
    <row r="10" spans="1:4" x14ac:dyDescent="0.25">
      <c r="A10" s="26" t="s">
        <v>43</v>
      </c>
      <c r="B10" s="2">
        <v>3</v>
      </c>
      <c r="C10" s="2">
        <f t="shared" si="0"/>
        <v>3</v>
      </c>
      <c r="D10" s="26" t="str">
        <f t="shared" si="1"/>
        <v/>
      </c>
    </row>
    <row r="11" spans="1:4" x14ac:dyDescent="0.25">
      <c r="A11" s="26" t="s">
        <v>43</v>
      </c>
      <c r="B11" s="2">
        <v>3</v>
      </c>
      <c r="C11" s="2">
        <f t="shared" si="0"/>
        <v>3</v>
      </c>
      <c r="D11" s="26" t="str">
        <f t="shared" si="1"/>
        <v/>
      </c>
    </row>
    <row r="12" spans="1:4" x14ac:dyDescent="0.25">
      <c r="C12" s="27" t="str">
        <f>IF(C13="Late",-0.25*SUM(C1:C11),"")</f>
        <v/>
      </c>
      <c r="D12" s="27" t="str">
        <f>IF($C$13="Late","Late","")</f>
        <v/>
      </c>
    </row>
    <row r="13" spans="1:4" x14ac:dyDescent="0.25">
      <c r="A13" s="28" t="s">
        <v>35</v>
      </c>
      <c r="B13" s="29">
        <f>SUM(B2:B11)</f>
        <v>30</v>
      </c>
      <c r="D13" s="27" t="str">
        <f>IF($C$13="Late","In accordance with the syllabus, late points are subtracted from score (25%).","")</f>
        <v/>
      </c>
    </row>
    <row r="14" spans="1:4" x14ac:dyDescent="0.25">
      <c r="C14" s="29">
        <f>SUM(C2:C12)</f>
        <v>30</v>
      </c>
    </row>
  </sheetData>
  <conditionalFormatting sqref="A3:C11">
    <cfRule type="expression" dxfId="29" priority="1">
      <formula>$B3&lt;&gt;$C3</formula>
    </cfRule>
  </conditionalFormatting>
  <conditionalFormatting sqref="A2:D2 D3:D11">
    <cfRule type="expression" dxfId="28" priority="2">
      <formula>$B2&lt;&gt;$C2</formula>
    </cfRule>
  </conditionalFormatting>
  <dataValidations count="1">
    <dataValidation type="list" allowBlank="1" showInputMessage="1" showErrorMessage="1" sqref="C13" xr:uid="{00000000-0002-0000-0000-000000000000}">
      <formula1>"Late"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56AA3-2D14-4EC2-9D44-45122E8D78B6}">
  <dimension ref="A3:B9"/>
  <sheetViews>
    <sheetView workbookViewId="0">
      <selection activeCell="A3" sqref="A3:B7"/>
    </sheetView>
  </sheetViews>
  <sheetFormatPr defaultRowHeight="15" x14ac:dyDescent="0.25"/>
  <cols>
    <col min="1" max="1" width="21.5703125" bestFit="1" customWidth="1"/>
    <col min="2" max="2" width="12.140625" bestFit="1" customWidth="1"/>
  </cols>
  <sheetData>
    <row r="3" spans="1:2" x14ac:dyDescent="0.25">
      <c r="A3" s="31" t="s">
        <v>0</v>
      </c>
      <c r="B3" t="s">
        <v>45</v>
      </c>
    </row>
    <row r="4" spans="1:2" x14ac:dyDescent="0.25">
      <c r="A4" s="32">
        <v>42502</v>
      </c>
      <c r="B4" s="33">
        <v>6666</v>
      </c>
    </row>
    <row r="5" spans="1:2" x14ac:dyDescent="0.25">
      <c r="A5" s="32">
        <v>42503</v>
      </c>
      <c r="B5" s="33">
        <v>7735</v>
      </c>
    </row>
    <row r="6" spans="1:2" x14ac:dyDescent="0.25">
      <c r="A6" s="32">
        <v>42504</v>
      </c>
      <c r="B6" s="33">
        <v>4227</v>
      </c>
    </row>
    <row r="7" spans="1:2" x14ac:dyDescent="0.25">
      <c r="A7" s="32">
        <v>42505</v>
      </c>
      <c r="B7" s="33">
        <v>11766</v>
      </c>
    </row>
    <row r="8" spans="1:2" x14ac:dyDescent="0.25">
      <c r="A8" s="32">
        <v>42506</v>
      </c>
      <c r="B8" s="33">
        <v>12030</v>
      </c>
    </row>
    <row r="9" spans="1:2" x14ac:dyDescent="0.25">
      <c r="A9" s="32" t="s">
        <v>44</v>
      </c>
      <c r="B9" s="33">
        <v>42424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F616-CF94-4175-AFCB-6BCBE4C1B2B3}">
  <dimension ref="A3:F13"/>
  <sheetViews>
    <sheetView workbookViewId="0">
      <selection activeCell="D11" sqref="D11"/>
    </sheetView>
  </sheetViews>
  <sheetFormatPr defaultRowHeight="15" x14ac:dyDescent="0.25"/>
  <cols>
    <col min="1" max="1" width="14.140625" bestFit="1" customWidth="1"/>
    <col min="2" max="5" width="10.42578125" bestFit="1" customWidth="1"/>
    <col min="6" max="7" width="11.28515625" bestFit="1" customWidth="1"/>
    <col min="8" max="9" width="16" bestFit="1" customWidth="1"/>
    <col min="10" max="10" width="17.28515625" bestFit="1" customWidth="1"/>
    <col min="11" max="11" width="21" bestFit="1" customWidth="1"/>
  </cols>
  <sheetData>
    <row r="3" spans="1:6" x14ac:dyDescent="0.25">
      <c r="A3" s="31" t="s">
        <v>45</v>
      </c>
      <c r="B3" s="31" t="s">
        <v>2</v>
      </c>
    </row>
    <row r="4" spans="1:6" x14ac:dyDescent="0.25">
      <c r="A4" s="31" t="s">
        <v>11</v>
      </c>
      <c r="B4" t="s">
        <v>9</v>
      </c>
      <c r="C4" t="s">
        <v>26</v>
      </c>
      <c r="D4" t="s">
        <v>10</v>
      </c>
      <c r="E4" t="s">
        <v>8</v>
      </c>
      <c r="F4" t="s">
        <v>44</v>
      </c>
    </row>
    <row r="5" spans="1:6" x14ac:dyDescent="0.25">
      <c r="A5" t="s">
        <v>17</v>
      </c>
      <c r="B5" s="33">
        <v>3113</v>
      </c>
      <c r="C5" s="33"/>
      <c r="D5" s="33">
        <v>4997</v>
      </c>
      <c r="E5" s="33">
        <v>4716</v>
      </c>
      <c r="F5" s="33">
        <v>12826</v>
      </c>
    </row>
    <row r="6" spans="1:6" x14ac:dyDescent="0.25">
      <c r="A6" t="s">
        <v>13</v>
      </c>
      <c r="B6" s="33"/>
      <c r="C6" s="33">
        <v>3865</v>
      </c>
      <c r="D6" s="33">
        <v>2357</v>
      </c>
      <c r="E6" s="33"/>
      <c r="F6" s="33">
        <v>6222</v>
      </c>
    </row>
    <row r="7" spans="1:6" x14ac:dyDescent="0.25">
      <c r="A7" t="s">
        <v>18</v>
      </c>
      <c r="B7" s="33"/>
      <c r="C7" s="33">
        <v>692</v>
      </c>
      <c r="D7" s="33"/>
      <c r="E7" s="33"/>
      <c r="F7" s="33">
        <v>692</v>
      </c>
    </row>
    <row r="8" spans="1:6" x14ac:dyDescent="0.25">
      <c r="A8" t="s">
        <v>15</v>
      </c>
      <c r="B8" s="33"/>
      <c r="C8" s="33"/>
      <c r="D8" s="33">
        <v>4413</v>
      </c>
      <c r="E8" s="33">
        <v>5689</v>
      </c>
      <c r="F8" s="33">
        <v>10102</v>
      </c>
    </row>
    <row r="9" spans="1:6" x14ac:dyDescent="0.25">
      <c r="A9" t="s">
        <v>19</v>
      </c>
      <c r="B9" s="33"/>
      <c r="C9" s="33"/>
      <c r="D9" s="33">
        <v>1870</v>
      </c>
      <c r="E9" s="33"/>
      <c r="F9" s="33">
        <v>1870</v>
      </c>
    </row>
    <row r="10" spans="1:6" x14ac:dyDescent="0.25">
      <c r="A10" t="s">
        <v>12</v>
      </c>
      <c r="B10" s="33"/>
      <c r="C10" s="33">
        <v>1158</v>
      </c>
      <c r="D10" s="33"/>
      <c r="E10" s="33">
        <v>2564</v>
      </c>
      <c r="F10" s="33">
        <v>3722</v>
      </c>
    </row>
    <row r="11" spans="1:6" x14ac:dyDescent="0.25">
      <c r="A11" t="s">
        <v>14</v>
      </c>
      <c r="B11" s="33">
        <v>5165</v>
      </c>
      <c r="C11" s="33"/>
      <c r="D11" s="33"/>
      <c r="E11" s="33"/>
      <c r="F11" s="33">
        <v>5165</v>
      </c>
    </row>
    <row r="12" spans="1:6" x14ac:dyDescent="0.25">
      <c r="A12" t="s">
        <v>16</v>
      </c>
      <c r="B12" s="33"/>
      <c r="C12" s="33"/>
      <c r="D12" s="33">
        <v>1825</v>
      </c>
      <c r="E12" s="33"/>
      <c r="F12" s="33">
        <v>1825</v>
      </c>
    </row>
    <row r="13" spans="1:6" x14ac:dyDescent="0.25">
      <c r="A13" t="s">
        <v>44</v>
      </c>
      <c r="B13" s="33">
        <v>8278</v>
      </c>
      <c r="C13" s="33">
        <v>5715</v>
      </c>
      <c r="D13" s="33">
        <v>15462</v>
      </c>
      <c r="E13" s="33">
        <v>12969</v>
      </c>
      <c r="F13" s="33">
        <v>42424</v>
      </c>
    </row>
  </sheetData>
  <conditionalFormatting pivot="1" sqref="B5:E12">
    <cfRule type="top10" dxfId="0" priority="1" rank="4"/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1E6B-CE92-40B4-821C-523B31117985}">
  <dimension ref="A3:B8"/>
  <sheetViews>
    <sheetView workbookViewId="0">
      <selection activeCell="B5" sqref="B5"/>
    </sheetView>
  </sheetViews>
  <sheetFormatPr defaultRowHeight="15" x14ac:dyDescent="0.25"/>
  <cols>
    <col min="1" max="1" width="11.7109375" bestFit="1" customWidth="1"/>
    <col min="2" max="2" width="12.140625" bestFit="1" customWidth="1"/>
  </cols>
  <sheetData>
    <row r="3" spans="1:2" x14ac:dyDescent="0.25">
      <c r="A3" s="31" t="s">
        <v>1</v>
      </c>
      <c r="B3" t="s">
        <v>45</v>
      </c>
    </row>
    <row r="4" spans="1:2" x14ac:dyDescent="0.25">
      <c r="A4" t="s">
        <v>7</v>
      </c>
      <c r="B4" s="33">
        <v>8615</v>
      </c>
    </row>
    <row r="5" spans="1:2" x14ac:dyDescent="0.25">
      <c r="A5" t="s">
        <v>6</v>
      </c>
      <c r="B5" s="33">
        <v>18866</v>
      </c>
    </row>
    <row r="6" spans="1:2" x14ac:dyDescent="0.25">
      <c r="A6" t="s">
        <v>4</v>
      </c>
      <c r="B6" s="33">
        <v>6965</v>
      </c>
    </row>
    <row r="7" spans="1:2" x14ac:dyDescent="0.25">
      <c r="A7" t="s">
        <v>5</v>
      </c>
      <c r="B7" s="33">
        <v>7978</v>
      </c>
    </row>
    <row r="8" spans="1:2" x14ac:dyDescent="0.25">
      <c r="A8" t="s">
        <v>44</v>
      </c>
      <c r="B8" s="33">
        <v>42424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</sheetPr>
  <dimension ref="A1:AN54"/>
  <sheetViews>
    <sheetView zoomScale="85" zoomScaleNormal="85" workbookViewId="0">
      <selection activeCell="D29" sqref="D29"/>
    </sheetView>
  </sheetViews>
  <sheetFormatPr defaultRowHeight="15" x14ac:dyDescent="0.25"/>
  <cols>
    <col min="1" max="1" width="22.42578125" bestFit="1" customWidth="1"/>
    <col min="2" max="2" width="11.140625" customWidth="1"/>
    <col min="3" max="3" width="11.5703125" bestFit="1" customWidth="1"/>
    <col min="4" max="4" width="14.140625" bestFit="1" customWidth="1"/>
    <col min="5" max="5" width="7.28515625" bestFit="1" customWidth="1"/>
    <col min="6" max="7" width="11.28515625" customWidth="1"/>
    <col min="8" max="8" width="13.42578125" customWidth="1"/>
    <col min="9" max="9" width="11.28515625" customWidth="1"/>
    <col min="10" max="10" width="22.42578125" bestFit="1" customWidth="1"/>
    <col min="11" max="11" width="9.5703125" bestFit="1" customWidth="1"/>
    <col min="12" max="12" width="11.5703125" bestFit="1" customWidth="1"/>
    <col min="13" max="13" width="14.140625" bestFit="1" customWidth="1"/>
    <col min="14" max="14" width="7.28515625" bestFit="1" customWidth="1"/>
    <col min="34" max="34" width="11.7109375" customWidth="1"/>
    <col min="36" max="36" width="10.140625" customWidth="1"/>
    <col min="38" max="39" width="11.85546875" customWidth="1"/>
    <col min="40" max="40" width="13.5703125" customWidth="1"/>
  </cols>
  <sheetData>
    <row r="1" spans="1:40" x14ac:dyDescent="0.25">
      <c r="A1" s="16" t="s">
        <v>27</v>
      </c>
      <c r="B1" s="17"/>
      <c r="C1" s="17"/>
      <c r="D1" s="17"/>
      <c r="E1" s="17"/>
      <c r="F1" s="17"/>
      <c r="G1" s="17"/>
      <c r="H1" s="18"/>
    </row>
    <row r="2" spans="1:40" x14ac:dyDescent="0.25">
      <c r="A2" s="19" t="s">
        <v>20</v>
      </c>
      <c r="B2" s="20"/>
      <c r="C2" s="20"/>
      <c r="D2" s="20"/>
      <c r="E2" s="20"/>
      <c r="F2" s="20"/>
      <c r="G2" s="20"/>
      <c r="H2" s="21"/>
    </row>
    <row r="3" spans="1:40" x14ac:dyDescent="0.25">
      <c r="A3" s="19" t="s">
        <v>28</v>
      </c>
      <c r="B3" s="20"/>
      <c r="C3" s="20"/>
      <c r="D3" s="20"/>
      <c r="E3" s="20"/>
      <c r="F3" s="20"/>
      <c r="G3" s="20"/>
      <c r="H3" s="21"/>
    </row>
    <row r="4" spans="1:40" x14ac:dyDescent="0.25">
      <c r="A4" s="19" t="s">
        <v>25</v>
      </c>
      <c r="B4" s="20"/>
      <c r="C4" s="20"/>
      <c r="D4" s="20"/>
      <c r="E4" s="20"/>
      <c r="F4" s="20"/>
      <c r="G4" s="20"/>
      <c r="H4" s="21"/>
    </row>
    <row r="5" spans="1:40" x14ac:dyDescent="0.25">
      <c r="A5" s="19" t="s">
        <v>22</v>
      </c>
      <c r="B5" s="20"/>
      <c r="C5" s="20"/>
      <c r="D5" s="20"/>
      <c r="E5" s="20"/>
      <c r="F5" s="20"/>
      <c r="G5" s="20"/>
      <c r="H5" s="21"/>
    </row>
    <row r="6" spans="1:40" x14ac:dyDescent="0.25">
      <c r="A6" s="19" t="s">
        <v>23</v>
      </c>
      <c r="B6" s="20"/>
      <c r="C6" s="20"/>
      <c r="D6" s="20"/>
      <c r="E6" s="20"/>
      <c r="F6" s="20"/>
      <c r="G6" s="20"/>
      <c r="H6" s="21"/>
    </row>
    <row r="7" spans="1:40" x14ac:dyDescent="0.25">
      <c r="A7" s="22" t="s">
        <v>24</v>
      </c>
      <c r="B7" s="23"/>
      <c r="C7" s="23"/>
      <c r="D7" s="23"/>
      <c r="E7" s="23"/>
      <c r="F7" s="23"/>
      <c r="G7" s="23"/>
      <c r="H7" s="24"/>
      <c r="J7" s="30" t="s">
        <v>21</v>
      </c>
    </row>
    <row r="9" spans="1:40" x14ac:dyDescent="0.25">
      <c r="A9" s="11" t="s">
        <v>0</v>
      </c>
      <c r="B9" s="12" t="s">
        <v>1</v>
      </c>
      <c r="C9" s="12" t="s">
        <v>2</v>
      </c>
      <c r="D9" s="12" t="s">
        <v>11</v>
      </c>
      <c r="E9" s="13" t="s">
        <v>3</v>
      </c>
      <c r="J9" s="1" t="s">
        <v>0</v>
      </c>
      <c r="K9" s="1" t="s">
        <v>1</v>
      </c>
      <c r="L9" s="1" t="s">
        <v>2</v>
      </c>
      <c r="M9" s="1" t="s">
        <v>11</v>
      </c>
      <c r="N9" s="1" t="s">
        <v>3</v>
      </c>
      <c r="AJ9" s="5" t="s">
        <v>1</v>
      </c>
      <c r="AL9" s="5" t="s">
        <v>2</v>
      </c>
      <c r="AN9" s="5" t="s">
        <v>11</v>
      </c>
    </row>
    <row r="10" spans="1:40" x14ac:dyDescent="0.25">
      <c r="A10" s="9">
        <v>42502</v>
      </c>
      <c r="B10" s="2" t="s">
        <v>4</v>
      </c>
      <c r="C10" s="2" t="s">
        <v>10</v>
      </c>
      <c r="D10" s="2" t="s">
        <v>15</v>
      </c>
      <c r="E10" s="10">
        <v>1090</v>
      </c>
      <c r="J10" s="3">
        <v>42505</v>
      </c>
      <c r="K10" s="2" t="s">
        <v>6</v>
      </c>
      <c r="L10" s="2" t="s">
        <v>10</v>
      </c>
      <c r="M10" s="2" t="s">
        <v>17</v>
      </c>
      <c r="N10" s="8">
        <v>2241</v>
      </c>
      <c r="AJ10" s="4" t="s">
        <v>4</v>
      </c>
      <c r="AL10" s="4" t="s">
        <v>8</v>
      </c>
      <c r="AN10" s="4" t="s">
        <v>12</v>
      </c>
    </row>
    <row r="11" spans="1:40" x14ac:dyDescent="0.25">
      <c r="A11" s="9">
        <v>42502</v>
      </c>
      <c r="B11" s="2" t="s">
        <v>5</v>
      </c>
      <c r="C11" s="2" t="s">
        <v>8</v>
      </c>
      <c r="D11" s="2" t="s">
        <v>15</v>
      </c>
      <c r="E11" s="10">
        <v>1600</v>
      </c>
      <c r="J11" s="3">
        <v>42505</v>
      </c>
      <c r="K11" s="2" t="s">
        <v>7</v>
      </c>
      <c r="L11" s="2" t="s">
        <v>9</v>
      </c>
      <c r="M11" s="2" t="s">
        <v>14</v>
      </c>
      <c r="N11" s="8">
        <v>3506</v>
      </c>
      <c r="AJ11" s="4" t="s">
        <v>5</v>
      </c>
      <c r="AL11" s="4" t="s">
        <v>9</v>
      </c>
      <c r="AN11" s="4" t="s">
        <v>13</v>
      </c>
    </row>
    <row r="12" spans="1:40" x14ac:dyDescent="0.25">
      <c r="A12" s="9">
        <v>42502</v>
      </c>
      <c r="B12" s="2" t="s">
        <v>6</v>
      </c>
      <c r="C12" s="2" t="s">
        <v>10</v>
      </c>
      <c r="D12" s="2" t="s">
        <v>16</v>
      </c>
      <c r="E12" s="10">
        <v>1825</v>
      </c>
      <c r="J12" s="3">
        <v>42505</v>
      </c>
      <c r="K12" s="2" t="s">
        <v>7</v>
      </c>
      <c r="L12" s="2" t="s">
        <v>8</v>
      </c>
      <c r="M12" s="2" t="s">
        <v>12</v>
      </c>
      <c r="N12" s="8">
        <v>1661</v>
      </c>
      <c r="AJ12" s="4" t="s">
        <v>6</v>
      </c>
      <c r="AL12" s="4" t="s">
        <v>10</v>
      </c>
      <c r="AN12" s="4" t="s">
        <v>14</v>
      </c>
    </row>
    <row r="13" spans="1:40" x14ac:dyDescent="0.25">
      <c r="A13" s="9">
        <v>42502</v>
      </c>
      <c r="B13" s="2" t="s">
        <v>5</v>
      </c>
      <c r="C13" s="2" t="s">
        <v>8</v>
      </c>
      <c r="D13" s="2" t="s">
        <v>17</v>
      </c>
      <c r="E13" s="10">
        <v>2151</v>
      </c>
      <c r="J13" s="3">
        <v>42505</v>
      </c>
      <c r="K13" s="2" t="s">
        <v>4</v>
      </c>
      <c r="L13" s="2" t="s">
        <v>9</v>
      </c>
      <c r="M13" s="2" t="s">
        <v>17</v>
      </c>
      <c r="N13" s="8">
        <v>493</v>
      </c>
      <c r="AJ13" s="6" t="s">
        <v>7</v>
      </c>
      <c r="AL13" s="4" t="s">
        <v>26</v>
      </c>
      <c r="AN13" s="4" t="s">
        <v>15</v>
      </c>
    </row>
    <row r="14" spans="1:40" x14ac:dyDescent="0.25">
      <c r="A14" s="9">
        <v>42503</v>
      </c>
      <c r="B14" s="2" t="s">
        <v>6</v>
      </c>
      <c r="C14" s="2" t="s">
        <v>8</v>
      </c>
      <c r="D14" s="2" t="s">
        <v>12</v>
      </c>
      <c r="E14" s="10">
        <v>903</v>
      </c>
      <c r="J14" s="3">
        <v>42505</v>
      </c>
      <c r="K14" s="2" t="s">
        <v>6</v>
      </c>
      <c r="L14" s="2" t="s">
        <v>26</v>
      </c>
      <c r="M14" s="2" t="s">
        <v>13</v>
      </c>
      <c r="N14" s="8">
        <v>3865</v>
      </c>
      <c r="AL14" s="6" t="s">
        <v>8</v>
      </c>
      <c r="AN14" s="4" t="s">
        <v>16</v>
      </c>
    </row>
    <row r="15" spans="1:40" x14ac:dyDescent="0.25">
      <c r="A15" s="9">
        <v>42503</v>
      </c>
      <c r="B15" s="2" t="s">
        <v>4</v>
      </c>
      <c r="C15" s="2" t="s">
        <v>26</v>
      </c>
      <c r="D15" s="2" t="s">
        <v>12</v>
      </c>
      <c r="E15" s="10">
        <v>1158</v>
      </c>
      <c r="J15" s="3">
        <v>42506</v>
      </c>
      <c r="K15" s="2" t="s">
        <v>7</v>
      </c>
      <c r="L15" s="2" t="s">
        <v>10</v>
      </c>
      <c r="M15" s="2" t="s">
        <v>17</v>
      </c>
      <c r="N15" s="8">
        <v>2756</v>
      </c>
      <c r="AN15" s="4" t="s">
        <v>17</v>
      </c>
    </row>
    <row r="16" spans="1:40" x14ac:dyDescent="0.25">
      <c r="A16" s="9">
        <v>42503</v>
      </c>
      <c r="B16" s="2" t="s">
        <v>7</v>
      </c>
      <c r="C16" s="2" t="s">
        <v>26</v>
      </c>
      <c r="D16" s="2" t="s">
        <v>18</v>
      </c>
      <c r="E16" s="10">
        <v>692</v>
      </c>
      <c r="J16" s="3">
        <v>42506</v>
      </c>
      <c r="K16" s="2" t="s">
        <v>6</v>
      </c>
      <c r="L16" s="2" t="s">
        <v>8</v>
      </c>
      <c r="M16" s="2" t="s">
        <v>15</v>
      </c>
      <c r="N16" s="8">
        <v>4089</v>
      </c>
      <c r="AN16" s="4" t="s">
        <v>18</v>
      </c>
    </row>
    <row r="17" spans="1:40" x14ac:dyDescent="0.25">
      <c r="A17" s="9">
        <v>42503</v>
      </c>
      <c r="B17" s="2" t="s">
        <v>6</v>
      </c>
      <c r="C17" s="2" t="s">
        <v>10</v>
      </c>
      <c r="D17" s="2" t="s">
        <v>15</v>
      </c>
      <c r="E17" s="10">
        <v>3323</v>
      </c>
      <c r="J17" s="3">
        <v>42506</v>
      </c>
      <c r="K17" s="2" t="s">
        <v>6</v>
      </c>
      <c r="L17" s="2" t="s">
        <v>9</v>
      </c>
      <c r="M17" s="2" t="s">
        <v>17</v>
      </c>
      <c r="N17" s="8">
        <v>2620</v>
      </c>
      <c r="AN17" s="6" t="s">
        <v>19</v>
      </c>
    </row>
    <row r="18" spans="1:40" x14ac:dyDescent="0.25">
      <c r="A18" s="9">
        <v>42503</v>
      </c>
      <c r="B18" s="2" t="s">
        <v>4</v>
      </c>
      <c r="C18" s="2" t="s">
        <v>9</v>
      </c>
      <c r="D18" s="2" t="s">
        <v>14</v>
      </c>
      <c r="E18" s="10">
        <v>1659</v>
      </c>
      <c r="J18" s="3">
        <v>42506</v>
      </c>
      <c r="K18" s="2" t="s">
        <v>4</v>
      </c>
      <c r="L18" s="2" t="s">
        <v>8</v>
      </c>
      <c r="M18" s="2" t="s">
        <v>17</v>
      </c>
      <c r="N18" s="8">
        <v>2565</v>
      </c>
    </row>
    <row r="19" spans="1:40" x14ac:dyDescent="0.25">
      <c r="A19" s="9">
        <v>42504</v>
      </c>
      <c r="B19" s="2" t="s">
        <v>5</v>
      </c>
      <c r="C19" s="2" t="s">
        <v>10</v>
      </c>
      <c r="D19" s="2" t="s">
        <v>19</v>
      </c>
      <c r="E19" s="10">
        <v>1870</v>
      </c>
    </row>
    <row r="20" spans="1:40" x14ac:dyDescent="0.25">
      <c r="A20" s="14">
        <v>42504</v>
      </c>
      <c r="B20" s="7" t="s">
        <v>5</v>
      </c>
      <c r="C20" s="7" t="s">
        <v>10</v>
      </c>
      <c r="D20" s="7" t="s">
        <v>13</v>
      </c>
      <c r="E20" s="15">
        <v>2357</v>
      </c>
    </row>
    <row r="21" spans="1:40" x14ac:dyDescent="0.25">
      <c r="A21" s="3">
        <v>42505</v>
      </c>
      <c r="B21" s="2" t="s">
        <v>6</v>
      </c>
      <c r="C21" s="2" t="s">
        <v>10</v>
      </c>
      <c r="D21" s="2" t="s">
        <v>17</v>
      </c>
      <c r="E21" s="8">
        <v>2241</v>
      </c>
    </row>
    <row r="22" spans="1:40" x14ac:dyDescent="0.25">
      <c r="A22" s="3">
        <v>42505</v>
      </c>
      <c r="B22" s="2" t="s">
        <v>7</v>
      </c>
      <c r="C22" s="2" t="s">
        <v>9</v>
      </c>
      <c r="D22" s="2" t="s">
        <v>14</v>
      </c>
      <c r="E22" s="8">
        <v>3506</v>
      </c>
    </row>
    <row r="23" spans="1:40" x14ac:dyDescent="0.25">
      <c r="A23" s="3">
        <v>42505</v>
      </c>
      <c r="B23" s="2" t="s">
        <v>7</v>
      </c>
      <c r="C23" s="2" t="s">
        <v>8</v>
      </c>
      <c r="D23" s="2" t="s">
        <v>12</v>
      </c>
      <c r="E23" s="8">
        <v>1661</v>
      </c>
      <c r="J23" s="30" t="s">
        <v>29</v>
      </c>
    </row>
    <row r="24" spans="1:40" x14ac:dyDescent="0.25">
      <c r="A24" s="3">
        <v>42505</v>
      </c>
      <c r="B24" s="2" t="s">
        <v>4</v>
      </c>
      <c r="C24" s="2" t="s">
        <v>9</v>
      </c>
      <c r="D24" s="2" t="s">
        <v>17</v>
      </c>
      <c r="E24" s="8">
        <v>493</v>
      </c>
    </row>
    <row r="25" spans="1:40" x14ac:dyDescent="0.25">
      <c r="A25" s="3">
        <v>42505</v>
      </c>
      <c r="B25" s="2" t="s">
        <v>6</v>
      </c>
      <c r="C25" s="2" t="s">
        <v>26</v>
      </c>
      <c r="D25" s="2" t="s">
        <v>13</v>
      </c>
      <c r="E25" s="8">
        <v>3865</v>
      </c>
    </row>
    <row r="26" spans="1:40" x14ac:dyDescent="0.25">
      <c r="A26" s="3">
        <v>42506</v>
      </c>
      <c r="B26" s="2" t="s">
        <v>7</v>
      </c>
      <c r="C26" s="2" t="s">
        <v>10</v>
      </c>
      <c r="D26" s="2" t="s">
        <v>17</v>
      </c>
      <c r="E26" s="8">
        <v>2756</v>
      </c>
    </row>
    <row r="27" spans="1:40" x14ac:dyDescent="0.25">
      <c r="A27" s="3">
        <v>42506</v>
      </c>
      <c r="B27" s="2" t="s">
        <v>6</v>
      </c>
      <c r="C27" s="2" t="s">
        <v>8</v>
      </c>
      <c r="D27" s="2" t="s">
        <v>15</v>
      </c>
      <c r="E27" s="8">
        <v>4089</v>
      </c>
    </row>
    <row r="28" spans="1:40" x14ac:dyDescent="0.25">
      <c r="A28" s="3">
        <v>42506</v>
      </c>
      <c r="B28" s="2" t="s">
        <v>6</v>
      </c>
      <c r="C28" s="2" t="s">
        <v>9</v>
      </c>
      <c r="D28" s="2" t="s">
        <v>17</v>
      </c>
      <c r="E28" s="8">
        <v>2620</v>
      </c>
    </row>
    <row r="29" spans="1:40" x14ac:dyDescent="0.25">
      <c r="A29" s="3">
        <v>42506</v>
      </c>
      <c r="B29" s="2" t="s">
        <v>4</v>
      </c>
      <c r="C29" s="2" t="s">
        <v>8</v>
      </c>
      <c r="D29" s="2" t="s">
        <v>17</v>
      </c>
      <c r="E29" s="8">
        <v>2565</v>
      </c>
    </row>
    <row r="54" spans="10:10" x14ac:dyDescent="0.25">
      <c r="J54" s="30" t="s">
        <v>30</v>
      </c>
    </row>
  </sheetData>
  <dataValidations count="3">
    <dataValidation type="list" allowBlank="1" showInputMessage="1" showErrorMessage="1" sqref="K10:K18 B10:B29" xr:uid="{00000000-0002-0000-0100-000000000000}">
      <formula1>$AJ$10:$AJ$13</formula1>
    </dataValidation>
    <dataValidation type="list" allowBlank="1" showInputMessage="1" showErrorMessage="1" sqref="L10:L18 C10:C29" xr:uid="{00000000-0002-0000-0100-000001000000}">
      <formula1>$AL$10:$AL$14</formula1>
    </dataValidation>
    <dataValidation type="list" allowBlank="1" showInputMessage="1" showErrorMessage="1" sqref="M10:M18 D10:D29" xr:uid="{00000000-0002-0000-0100-000002000000}">
      <formula1>$AN$10:$AN$17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S28"/>
  <sheetViews>
    <sheetView showGridLines="0" tabSelected="1" topLeftCell="A4" workbookViewId="0">
      <selection activeCell="M26" sqref="M26"/>
    </sheetView>
  </sheetViews>
  <sheetFormatPr defaultRowHeight="15" x14ac:dyDescent="0.25"/>
  <sheetData>
    <row r="1" spans="1:19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19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x14ac:dyDescent="0.2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19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spans="1:19" x14ac:dyDescent="0.25">
      <c r="A17" s="34"/>
      <c r="B17" s="34"/>
      <c r="C17" s="34"/>
      <c r="D17" s="34"/>
      <c r="E17" s="34"/>
      <c r="F17" s="34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</row>
    <row r="18" spans="1:19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19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19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19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19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19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</row>
    <row r="24" spans="1:19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1:19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</row>
    <row r="26" spans="1:19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</row>
    <row r="27" spans="1:19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19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Daily Sales</vt:lpstr>
      <vt:lpstr>Product Region</vt:lpstr>
      <vt:lpstr>SalesRepRev</vt:lpstr>
      <vt:lpstr>P(1)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Ngoc Dinh</cp:lastModifiedBy>
  <dcterms:created xsi:type="dcterms:W3CDTF">2016-05-27T17:53:50Z</dcterms:created>
  <dcterms:modified xsi:type="dcterms:W3CDTF">2018-09-19T16:42:46Z</dcterms:modified>
</cp:coreProperties>
</file>