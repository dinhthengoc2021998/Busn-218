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filterPrivacy="1"/>
  <xr:revisionPtr revIDLastSave="0" documentId="13_ncr:1_{6E2AB464-77B1-4A20-9ED0-32928DE17F74}" xr6:coauthVersionLast="36" xr6:coauthVersionMax="36" xr10:uidLastSave="{00000000-0000-0000-0000-000000000000}"/>
  <bookViews>
    <workbookView xWindow="0" yWindow="0" windowWidth="11985" windowHeight="8370" firstSheet="4" activeTab="4" xr2:uid="{00000000-000D-0000-FFFF-FFFF00000000}"/>
  </bookViews>
  <sheets>
    <sheet name="Topics" sheetId="1" r:id="rId1"/>
    <sheet name="Video 02 Reminder" sheetId="2" r:id="rId2"/>
    <sheet name="Cliff Notes" sheetId="4" r:id="rId3"/>
    <sheet name="Array Formulas" sheetId="5" r:id="rId4"/>
    <sheet name="Array Formulas (an)" sheetId="12" r:id="rId5"/>
    <sheet name="SizeShape" sheetId="16" r:id="rId6"/>
    <sheet name="Homework ==&gt;&gt;" sheetId="6" r:id="rId7"/>
    <sheet name="HW(1)" sheetId="7" r:id="rId8"/>
    <sheet name="HW(1an)" sheetId="8" r:id="rId9"/>
    <sheet name="HW(2)" sheetId="9" r:id="rId10"/>
    <sheet name="HW(2an)" sheetId="10" r:id="rId11"/>
    <sheet name="HW(3)" sheetId="11" r:id="rId12"/>
    <sheet name="HW(3an)" sheetId="13" r:id="rId13"/>
    <sheet name="HW(4)" sheetId="14" r:id="rId14"/>
    <sheet name="HW(4an)" sheetId="15" r:id="rId15"/>
  </sheets>
  <definedNames>
    <definedName name="_xlnm._FilterDatabase" localSheetId="3" hidden="1">'Array Formulas'!$A$232:$B$392</definedName>
    <definedName name="AussieANSWER" localSheetId="4">#REF!</definedName>
    <definedName name="AussieANSWER" localSheetId="12">#REF!</definedName>
    <definedName name="AussieANSWER" localSheetId="14">#REF!</definedName>
    <definedName name="AussieANSWER">#REF!</definedName>
    <definedName name="FastANSWER" localSheetId="4">#REF!</definedName>
    <definedName name="FastANSWER" localSheetId="12">#REF!</definedName>
    <definedName name="FastANSWER" localSheetId="14">#REF!</definedName>
    <definedName name="FastANSWER">#REF!</definedName>
    <definedName name="FrannyANSWER" localSheetId="4">#REF!</definedName>
    <definedName name="FrannyANSWER" localSheetId="12">#REF!</definedName>
    <definedName name="FrannyANSWER" localSheetId="14">#REF!</definedName>
    <definedName name="FrannyANSWER">#REF!</definedName>
    <definedName name="FreestyleANSWER" localSheetId="4">#REF!</definedName>
    <definedName name="FreestyleANSWER" localSheetId="12">#REF!</definedName>
    <definedName name="FreestyleANSWER" localSheetId="14">#REF!</definedName>
    <definedName name="FreestyleANSWER">#REF!</definedName>
    <definedName name="GigiANSWER" localSheetId="4">#REF!</definedName>
    <definedName name="GigiANSWER" localSheetId="12">#REF!</definedName>
    <definedName name="GigiANSWER" localSheetId="14">#REF!</definedName>
    <definedName name="GigiANSWER">#REF!</definedName>
    <definedName name="JonnANSWER" localSheetId="4">#REF!</definedName>
    <definedName name="JonnANSWER" localSheetId="12">#REF!</definedName>
    <definedName name="JonnANSWER" localSheetId="14">#REF!</definedName>
    <definedName name="JonnANSWER">#REF!</definedName>
    <definedName name="TinaANSWER" localSheetId="4">#REF!</definedName>
    <definedName name="TinaANSWER" localSheetId="12">#REF!</definedName>
    <definedName name="TinaANSWER" localSheetId="14">#REF!</definedName>
    <definedName name="TinaANSWER">#REF!</definedName>
    <definedName name="TypeANSWER" localSheetId="4">#REF!</definedName>
    <definedName name="TypeANSWER" localSheetId="12">#REF!</definedName>
    <definedName name="TypeANSWER" localSheetId="14">#REF!</definedName>
    <definedName name="TypeANSWER">#REF!</definedName>
    <definedName name="WindANSWER" localSheetId="4">#REF!</definedName>
    <definedName name="WindANSWER" localSheetId="12">#REF!</definedName>
    <definedName name="WindANSWER" localSheetId="14">#REF!</definedName>
    <definedName name="WindANSWER">#REF!</definedName>
  </definedNames>
  <calcPr calcId="179021"/>
  <pivotCaches>
    <pivotCache cacheId="4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14" l="1"/>
  <c r="H8" i="14"/>
  <c r="I8" i="14"/>
  <c r="G9" i="14"/>
  <c r="H9" i="14"/>
  <c r="I9" i="14"/>
  <c r="F9" i="14"/>
  <c r="F8" i="14"/>
  <c r="A4" i="11"/>
  <c r="B4" i="11"/>
  <c r="C4" i="11"/>
  <c r="D4" i="11"/>
  <c r="B9" i="9" a="1"/>
  <c r="B9" i="9" s="1"/>
  <c r="F35" i="7" a="1"/>
  <c r="F35" i="7" s="1"/>
  <c r="F34" i="7" a="1"/>
  <c r="F34" i="7" s="1"/>
  <c r="F29" i="7" a="1"/>
  <c r="F29" i="7" s="1"/>
  <c r="F28" i="7" a="1"/>
  <c r="F28" i="7" s="1"/>
  <c r="I17" i="7"/>
  <c r="I16" i="7"/>
  <c r="F23" i="7" a="1"/>
  <c r="F23" i="7" s="1"/>
  <c r="F22" i="7" a="1"/>
  <c r="F22" i="7" s="1"/>
  <c r="F17" i="7" a="1"/>
  <c r="F17" i="7" s="1"/>
  <c r="F16" i="7" a="1"/>
  <c r="F16" i="7" s="1"/>
  <c r="E254" i="12"/>
  <c r="I10" i="8"/>
  <c r="I10" i="7" a="1"/>
  <c r="I10" i="7" s="1"/>
  <c r="E5" i="7"/>
  <c r="F11" i="7" a="1"/>
  <c r="F11" i="7" s="1"/>
  <c r="F10" i="7" a="1"/>
  <c r="F10" i="7" s="1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C15" i="9" l="1"/>
  <c r="E13" i="9"/>
  <c r="B12" i="9"/>
  <c r="C11" i="9"/>
  <c r="E9" i="9"/>
  <c r="B15" i="9"/>
  <c r="D13" i="9"/>
  <c r="E12" i="9"/>
  <c r="B11" i="9"/>
  <c r="D9" i="9"/>
  <c r="E15" i="9"/>
  <c r="F14" i="9"/>
  <c r="B14" i="9"/>
  <c r="C13" i="9"/>
  <c r="D12" i="9"/>
  <c r="E11" i="9"/>
  <c r="F10" i="9"/>
  <c r="B10" i="9"/>
  <c r="C9" i="9"/>
  <c r="D14" i="9"/>
  <c r="F12" i="9"/>
  <c r="D10" i="9"/>
  <c r="F15" i="9"/>
  <c r="C14" i="9"/>
  <c r="F11" i="9"/>
  <c r="C10" i="9"/>
  <c r="D15" i="9"/>
  <c r="E14" i="9"/>
  <c r="F13" i="9"/>
  <c r="B13" i="9"/>
  <c r="C12" i="9"/>
  <c r="D11" i="9"/>
  <c r="E10" i="9"/>
  <c r="F9" i="9"/>
  <c r="I11" i="7"/>
  <c r="E234" i="5" a="1"/>
  <c r="E234" i="5" s="1"/>
  <c r="E235" i="5"/>
  <c r="E233" i="5"/>
  <c r="E211" i="5"/>
  <c r="E212" i="5"/>
  <c r="E213" i="5"/>
  <c r="E210" i="5" a="1"/>
  <c r="E210" i="5" s="1"/>
  <c r="E214" i="5"/>
  <c r="F195" i="5" a="1"/>
  <c r="F195" i="5" s="1"/>
  <c r="F162" i="5" a="1"/>
  <c r="F162" i="5" s="1"/>
  <c r="F161" i="5" a="1"/>
  <c r="F161" i="5" s="1"/>
  <c r="F160" i="5" a="1"/>
  <c r="F160" i="5" s="1"/>
  <c r="F159" i="5" a="1"/>
  <c r="F159" i="5" s="1"/>
  <c r="G196" i="5" l="1"/>
  <c r="F196" i="5"/>
  <c r="G197" i="5"/>
  <c r="G195" i="5"/>
  <c r="G198" i="5"/>
  <c r="F198" i="5"/>
  <c r="F197" i="5"/>
  <c r="L136" i="5"/>
  <c r="K136" i="5"/>
  <c r="J136" i="5"/>
  <c r="I136" i="5"/>
  <c r="H136" i="5"/>
  <c r="G136" i="5"/>
  <c r="F136" i="5"/>
  <c r="E136" i="5"/>
  <c r="F131" i="5"/>
  <c r="G131" i="5"/>
  <c r="H131" i="5"/>
  <c r="I131" i="5"/>
  <c r="J131" i="5"/>
  <c r="K131" i="5"/>
  <c r="L131" i="5"/>
  <c r="E131" i="5"/>
  <c r="H75" i="5"/>
  <c r="G75" i="5"/>
  <c r="F75" i="5"/>
  <c r="E75" i="5"/>
  <c r="C52" i="5"/>
  <c r="A52" i="5"/>
  <c r="B45" i="5"/>
  <c r="B43" i="5"/>
  <c r="B44" i="5"/>
  <c r="B35" i="5"/>
  <c r="B30" i="5"/>
  <c r="C25" i="5"/>
  <c r="D25" i="5"/>
  <c r="C24" i="5" a="1"/>
  <c r="C24" i="5" s="1"/>
  <c r="D24" i="5" a="1"/>
  <c r="D24" i="5" s="1"/>
  <c r="B25" i="5"/>
  <c r="B24" i="5" a="1"/>
  <c r="B24" i="5" s="1"/>
  <c r="B18" i="5"/>
  <c r="B45" i="12" a="1"/>
  <c r="B45" i="12" s="1"/>
  <c r="B44" i="12"/>
  <c r="D20" i="2"/>
  <c r="E20" i="2"/>
  <c r="F20" i="2"/>
  <c r="C20" i="2"/>
  <c r="B425" i="12" l="1" a="1"/>
  <c r="B425" i="12" s="1"/>
  <c r="E265" i="12" a="1"/>
  <c r="E265" i="12" s="1"/>
  <c r="E264" i="12" a="1"/>
  <c r="E264" i="12" s="1"/>
  <c r="E263" i="12" a="1"/>
  <c r="E263" i="12" s="1"/>
  <c r="E260" i="12"/>
  <c r="E259" i="12"/>
  <c r="E258" i="12"/>
  <c r="E255" i="12"/>
  <c r="E253" i="12"/>
  <c r="E250" i="12"/>
  <c r="E249" i="12"/>
  <c r="E249" i="12" a="1"/>
  <c r="E248" i="12"/>
  <c r="E248" i="12" a="1"/>
  <c r="C214" i="12"/>
  <c r="C213" i="12"/>
  <c r="C212" i="12"/>
  <c r="I211" i="12" a="1"/>
  <c r="I213" i="12" s="1"/>
  <c r="C211" i="12"/>
  <c r="E214" i="12"/>
  <c r="E212" i="12"/>
  <c r="E211" i="12"/>
  <c r="E210" i="12"/>
  <c r="E210" i="12" a="1"/>
  <c r="E213" i="12" s="1"/>
  <c r="C210" i="12"/>
  <c r="F198" i="12"/>
  <c r="F197" i="12"/>
  <c r="F196" i="12"/>
  <c r="F195" i="12"/>
  <c r="F195" i="12" a="1"/>
  <c r="G198" i="12" s="1"/>
  <c r="E186" i="12"/>
  <c r="E190" i="12" s="1"/>
  <c r="F162" i="12" a="1"/>
  <c r="F162" i="12" s="1"/>
  <c r="F161" i="12" a="1"/>
  <c r="F161" i="12" s="1"/>
  <c r="F160" i="12" a="1"/>
  <c r="F160" i="12" s="1"/>
  <c r="F159" i="12" a="1"/>
  <c r="F159" i="12" s="1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L136" i="12"/>
  <c r="K136" i="12"/>
  <c r="J136" i="12"/>
  <c r="I136" i="12"/>
  <c r="H136" i="12"/>
  <c r="G136" i="12"/>
  <c r="F136" i="12"/>
  <c r="E136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K131" i="12" s="1"/>
  <c r="C121" i="12"/>
  <c r="C120" i="12"/>
  <c r="J131" i="12" s="1"/>
  <c r="H76" i="12"/>
  <c r="G76" i="12"/>
  <c r="F76" i="12"/>
  <c r="E76" i="12"/>
  <c r="H75" i="12"/>
  <c r="G75" i="12"/>
  <c r="F75" i="12"/>
  <c r="E75" i="12"/>
  <c r="C52" i="12"/>
  <c r="A52" i="12"/>
  <c r="D46" i="12"/>
  <c r="B43" i="12"/>
  <c r="B35" i="12"/>
  <c r="B30" i="12"/>
  <c r="D25" i="12"/>
  <c r="C25" i="12"/>
  <c r="B25" i="12"/>
  <c r="D24" i="12" a="1"/>
  <c r="D24" i="12" s="1"/>
  <c r="C24" i="12" a="1"/>
  <c r="C24" i="12" s="1"/>
  <c r="B24" i="12" a="1"/>
  <c r="B24" i="12" s="1"/>
  <c r="B18" i="12"/>
  <c r="D8" i="12"/>
  <c r="C8" i="12"/>
  <c r="E8" i="12" s="1"/>
  <c r="B8" i="12"/>
  <c r="D7" i="12"/>
  <c r="C7" i="12"/>
  <c r="E7" i="12" s="1"/>
  <c r="B7" i="12"/>
  <c r="D6" i="12"/>
  <c r="C6" i="12"/>
  <c r="E6" i="12" s="1"/>
  <c r="B6" i="12"/>
  <c r="D5" i="12"/>
  <c r="D9" i="12" s="1"/>
  <c r="D10" i="12" s="1"/>
  <c r="C5" i="12"/>
  <c r="E5" i="12" s="1"/>
  <c r="B5" i="12"/>
  <c r="B9" i="12" s="1"/>
  <c r="E4" i="12"/>
  <c r="N24" i="12"/>
  <c r="D45" i="12"/>
  <c r="N25" i="12"/>
  <c r="D44" i="12"/>
  <c r="D43" i="12"/>
  <c r="B10" i="12" l="1"/>
  <c r="B190" i="12"/>
  <c r="D190" i="12"/>
  <c r="C190" i="12"/>
  <c r="I214" i="12"/>
  <c r="H131" i="12"/>
  <c r="L131" i="12"/>
  <c r="G195" i="12"/>
  <c r="G197" i="12"/>
  <c r="I211" i="12"/>
  <c r="I215" i="12"/>
  <c r="C9" i="12"/>
  <c r="C10" i="12" s="1"/>
  <c r="E131" i="12"/>
  <c r="I131" i="12"/>
  <c r="E187" i="12"/>
  <c r="E189" i="12"/>
  <c r="I212" i="12"/>
  <c r="G131" i="12"/>
  <c r="F131" i="12"/>
  <c r="G196" i="12"/>
  <c r="B410" i="5" a="1"/>
  <c r="B410" i="5" s="1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I211" i="5" a="1"/>
  <c r="I213" i="5" s="1"/>
  <c r="E248" i="5" a="1"/>
  <c r="E248" i="5" s="1"/>
  <c r="E239" i="5"/>
  <c r="E240" i="5"/>
  <c r="E238" i="5"/>
  <c r="E250" i="5" a="1"/>
  <c r="E250" i="5" s="1"/>
  <c r="E249" i="5" a="1"/>
  <c r="E249" i="5" s="1"/>
  <c r="E4" i="5"/>
  <c r="B5" i="5"/>
  <c r="C5" i="5"/>
  <c r="D5" i="5"/>
  <c r="B6" i="5"/>
  <c r="C6" i="5"/>
  <c r="D6" i="5"/>
  <c r="B7" i="5"/>
  <c r="C7" i="5"/>
  <c r="D7" i="5"/>
  <c r="B8" i="5"/>
  <c r="C8" i="5"/>
  <c r="D8" i="5"/>
  <c r="D46" i="5"/>
  <c r="D45" i="5"/>
  <c r="D44" i="5"/>
  <c r="B188" i="12" l="1"/>
  <c r="D188" i="12"/>
  <c r="C188" i="12"/>
  <c r="B189" i="12"/>
  <c r="D189" i="12"/>
  <c r="C189" i="12"/>
  <c r="E188" i="12"/>
  <c r="B187" i="12"/>
  <c r="D187" i="12"/>
  <c r="C187" i="12"/>
  <c r="C191" i="12" s="1"/>
  <c r="C192" i="12" s="1"/>
  <c r="E9" i="12"/>
  <c r="E10" i="12" s="1"/>
  <c r="E7" i="5"/>
  <c r="I212" i="5"/>
  <c r="I215" i="5"/>
  <c r="I211" i="5"/>
  <c r="I214" i="5"/>
  <c r="C9" i="5"/>
  <c r="C10" i="5" s="1"/>
  <c r="D9" i="5"/>
  <c r="D10" i="5" s="1"/>
  <c r="E6" i="5"/>
  <c r="E8" i="5"/>
  <c r="B9" i="5"/>
  <c r="E5" i="5"/>
  <c r="E8" i="2"/>
  <c r="D43" i="5"/>
  <c r="D191" i="12" l="1"/>
  <c r="D192" i="12" s="1"/>
  <c r="B191" i="12"/>
  <c r="E9" i="5"/>
  <c r="E10" i="5" s="1"/>
  <c r="B10" i="5"/>
  <c r="A18" i="16"/>
  <c r="A49" i="16"/>
  <c r="B49" i="16"/>
  <c r="C49" i="16"/>
  <c r="D49" i="16"/>
  <c r="A16" i="16"/>
  <c r="A17" i="16"/>
  <c r="A15" i="16"/>
  <c r="A45" i="16"/>
  <c r="A46" i="16"/>
  <c r="A47" i="16"/>
  <c r="A44" i="16"/>
  <c r="A14" i="16"/>
  <c r="B38" i="16"/>
  <c r="C38" i="16"/>
  <c r="B39" i="16"/>
  <c r="C39" i="16"/>
  <c r="B40" i="16"/>
  <c r="C40" i="16"/>
  <c r="B41" i="16"/>
  <c r="C41" i="16"/>
  <c r="A38" i="16"/>
  <c r="A39" i="16"/>
  <c r="A40" i="16"/>
  <c r="A41" i="16"/>
  <c r="A33" i="16"/>
  <c r="B33" i="16"/>
  <c r="C33" i="16"/>
  <c r="A34" i="16"/>
  <c r="B34" i="16"/>
  <c r="C34" i="16"/>
  <c r="A35" i="16"/>
  <c r="B35" i="16"/>
  <c r="C35" i="16"/>
  <c r="A36" i="16"/>
  <c r="B36" i="16"/>
  <c r="C36" i="16"/>
  <c r="A13" i="16"/>
  <c r="A12" i="16"/>
  <c r="A11" i="16"/>
  <c r="B18" i="16"/>
  <c r="B16" i="16"/>
  <c r="B15" i="16"/>
  <c r="B11" i="16"/>
  <c r="B13" i="16"/>
  <c r="B12" i="16"/>
  <c r="B17" i="16"/>
  <c r="B14" i="16"/>
  <c r="B192" i="12" l="1"/>
  <c r="E192" i="12" s="1"/>
  <c r="E191" i="12"/>
  <c r="C18" i="16"/>
  <c r="C16" i="16"/>
  <c r="C15" i="16"/>
  <c r="C17" i="16"/>
  <c r="C13" i="16"/>
  <c r="C12" i="16"/>
  <c r="C14" i="16"/>
  <c r="C11" i="16"/>
  <c r="F8" i="15"/>
  <c r="G8" i="15"/>
  <c r="H8" i="15"/>
  <c r="I8" i="15"/>
  <c r="F9" i="15"/>
  <c r="G9" i="15"/>
  <c r="H9" i="15"/>
  <c r="I9" i="15"/>
  <c r="D4" i="13"/>
  <c r="C4" i="13"/>
  <c r="B4" i="13"/>
  <c r="A4" i="13"/>
  <c r="D3" i="13"/>
  <c r="C3" i="13"/>
  <c r="B3" i="13"/>
  <c r="A3" i="13"/>
  <c r="B3" i="11"/>
  <c r="C3" i="11"/>
  <c r="D3" i="11"/>
  <c r="A3" i="11"/>
  <c r="B12" i="10" a="1"/>
  <c r="F18" i="10" s="1"/>
  <c r="I35" i="8"/>
  <c r="F35" i="8" a="1"/>
  <c r="F35" i="8" s="1"/>
  <c r="I34" i="8"/>
  <c r="F34" i="8" a="1"/>
  <c r="F34" i="8" s="1"/>
  <c r="I29" i="8"/>
  <c r="F29" i="8" a="1"/>
  <c r="F29" i="8" s="1"/>
  <c r="I28" i="8"/>
  <c r="F28" i="8" a="1"/>
  <c r="F28" i="8" s="1"/>
  <c r="F23" i="8" a="1"/>
  <c r="F23" i="8" s="1"/>
  <c r="F22" i="8" a="1"/>
  <c r="F22" i="8" s="1"/>
  <c r="I17" i="8"/>
  <c r="F17" i="8" a="1"/>
  <c r="F17" i="8" s="1"/>
  <c r="I16" i="8"/>
  <c r="F16" i="8" a="1"/>
  <c r="F16" i="8" s="1"/>
  <c r="I11" i="8"/>
  <c r="F11" i="8"/>
  <c r="F11" i="8" a="1"/>
  <c r="F10" i="8" a="1"/>
  <c r="F10" i="8" s="1"/>
  <c r="E5" i="8"/>
  <c r="E12" i="10" l="1"/>
  <c r="D13" i="10"/>
  <c r="C14" i="10"/>
  <c r="B15" i="10"/>
  <c r="F15" i="10"/>
  <c r="E16" i="10"/>
  <c r="D17" i="10"/>
  <c r="C18" i="10"/>
  <c r="B12" i="10"/>
  <c r="F12" i="10"/>
  <c r="E13" i="10"/>
  <c r="D14" i="10"/>
  <c r="C15" i="10"/>
  <c r="B16" i="10"/>
  <c r="F16" i="10"/>
  <c r="E17" i="10"/>
  <c r="D18" i="10"/>
  <c r="C12" i="10"/>
  <c r="B13" i="10"/>
  <c r="F13" i="10"/>
  <c r="E14" i="10"/>
  <c r="D15" i="10"/>
  <c r="C16" i="10"/>
  <c r="B17" i="10"/>
  <c r="F17" i="10"/>
  <c r="E18" i="10"/>
  <c r="D12" i="10"/>
  <c r="C13" i="10"/>
  <c r="B14" i="10"/>
  <c r="F14" i="10"/>
  <c r="E15" i="10"/>
  <c r="D16" i="10"/>
  <c r="C17" i="10"/>
  <c r="B18" i="10"/>
  <c r="C214" i="5"/>
  <c r="C213" i="5"/>
  <c r="C212" i="5"/>
  <c r="C211" i="5"/>
  <c r="C210" i="5"/>
  <c r="E186" i="5"/>
  <c r="E244" i="5" l="1"/>
  <c r="E245" i="5"/>
  <c r="E243" i="5"/>
  <c r="H76" i="5"/>
  <c r="F76" i="5"/>
  <c r="N25" i="5"/>
  <c r="N24" i="5"/>
  <c r="B188" i="5" l="1"/>
  <c r="C188" i="5"/>
  <c r="D188" i="5"/>
  <c r="E188" i="5"/>
  <c r="E187" i="5"/>
  <c r="B187" i="5"/>
  <c r="C187" i="5"/>
  <c r="D187" i="5"/>
  <c r="B190" i="5"/>
  <c r="C190" i="5"/>
  <c r="D190" i="5"/>
  <c r="E190" i="5"/>
  <c r="E189" i="5"/>
  <c r="B189" i="5"/>
  <c r="C189" i="5"/>
  <c r="D189" i="5"/>
  <c r="G76" i="5"/>
  <c r="E76" i="5"/>
  <c r="C191" i="5" l="1"/>
  <c r="C192" i="5" s="1"/>
  <c r="B191" i="5"/>
  <c r="D191" i="5"/>
  <c r="D192" i="5" s="1"/>
  <c r="B192" i="5" l="1"/>
  <c r="E192" i="5" s="1"/>
  <c r="E191" i="5"/>
</calcChain>
</file>

<file path=xl/sharedStrings.xml><?xml version="1.0" encoding="utf-8"?>
<sst xmlns="http://schemas.openxmlformats.org/spreadsheetml/2006/main" count="1658" uniqueCount="360">
  <si>
    <t>Topics:</t>
  </si>
  <si>
    <t>Aggregate Calculations:</t>
  </si>
  <si>
    <t>Calculations that take two or more items and</t>
  </si>
  <si>
    <t>calculate a single answer such as adding a column of numbers</t>
  </si>
  <si>
    <t>Array Calculations:</t>
  </si>
  <si>
    <t>Calculations that operate on an array of items rather than single items</t>
  </si>
  <si>
    <t>and which deliver an array of answers called a "resultant array".</t>
  </si>
  <si>
    <t>Reminder from Video 02:</t>
  </si>
  <si>
    <t>Ex 10</t>
  </si>
  <si>
    <r>
      <t>Goal:</t>
    </r>
    <r>
      <rPr>
        <sz val="11"/>
        <color theme="1"/>
        <rFont val="Calibri"/>
        <family val="2"/>
        <scheme val="minor"/>
      </rPr>
      <t xml:space="preserve"> Add Calls.</t>
    </r>
  </si>
  <si>
    <r>
      <t>Type of Formula:</t>
    </r>
    <r>
      <rPr>
        <sz val="11"/>
        <color theme="1"/>
        <rFont val="Calibri"/>
        <family val="2"/>
        <scheme val="minor"/>
      </rPr>
      <t xml:space="preserve"> Aggregate Formula. Number Formula.</t>
    </r>
  </si>
  <si>
    <r>
      <rPr>
        <b/>
        <sz val="11"/>
        <color theme="1"/>
        <rFont val="Calibri"/>
        <family val="2"/>
        <scheme val="minor"/>
      </rPr>
      <t>Formula Elements</t>
    </r>
    <r>
      <rPr>
        <sz val="11"/>
        <color theme="1"/>
        <rFont val="Calibri"/>
        <family val="2"/>
        <scheme val="minor"/>
      </rPr>
      <t>: Equal sign, Built-in Function, Range of Cells.</t>
    </r>
  </si>
  <si>
    <t>Day</t>
  </si>
  <si>
    <t>Calls Made</t>
  </si>
  <si>
    <t>Total Calls</t>
  </si>
  <si>
    <t>Monday</t>
  </si>
  <si>
    <t>Tuesday</t>
  </si>
  <si>
    <t>Wednesday</t>
  </si>
  <si>
    <t>Thursday</t>
  </si>
  <si>
    <t>Friday</t>
  </si>
  <si>
    <t>Ex 11</t>
  </si>
  <si>
    <r>
      <t>Goal:</t>
    </r>
    <r>
      <rPr>
        <sz val="11"/>
        <color theme="1"/>
        <rFont val="Calibri"/>
        <family val="2"/>
        <scheme val="minor"/>
      </rPr>
      <t xml:space="preserve"> Add Top 3 Bowling Scores For Bowling Tournament.</t>
    </r>
  </si>
  <si>
    <r>
      <t xml:space="preserve">Type of Formula: </t>
    </r>
    <r>
      <rPr>
        <sz val="11"/>
        <color theme="1"/>
        <rFont val="Calibri"/>
        <family val="2"/>
        <scheme val="minor"/>
      </rPr>
      <t>Array Formula. Number Formula.</t>
    </r>
  </si>
  <si>
    <r>
      <t>Formula Elements:</t>
    </r>
    <r>
      <rPr>
        <sz val="11"/>
        <color theme="1"/>
        <rFont val="Calibri"/>
        <family val="2"/>
        <scheme val="minor"/>
      </rPr>
      <t xml:space="preserve"> Equal sign, Built-in Function (Nested Functions),</t>
    </r>
  </si>
  <si>
    <t>Range of Cells, Array Constant with causes LARGE to deliver 3 numbers.</t>
  </si>
  <si>
    <t>Add Top 3</t>
  </si>
  <si>
    <t>Tournament</t>
  </si>
  <si>
    <t>Scores for Tom</t>
  </si>
  <si>
    <t>Scores for Debbie</t>
  </si>
  <si>
    <t>Scores for SheliaDawn</t>
  </si>
  <si>
    <t>Scores for Chin</t>
  </si>
  <si>
    <t>Oakland</t>
  </si>
  <si>
    <t>SF</t>
  </si>
  <si>
    <t>Fremont</t>
  </si>
  <si>
    <t>San Jose</t>
  </si>
  <si>
    <t>El Cerrito</t>
  </si>
  <si>
    <t>Berkeley</t>
  </si>
  <si>
    <t>Concord</t>
  </si>
  <si>
    <t>Vallejo</t>
  </si>
  <si>
    <t>Hayward</t>
  </si>
  <si>
    <t>Sales</t>
  </si>
  <si>
    <t>COGS</t>
  </si>
  <si>
    <t>3) The Resultant Array can be used inside a larger formula, or it can be the final answer.</t>
  </si>
  <si>
    <t>Month</t>
  </si>
  <si>
    <t>Jan</t>
  </si>
  <si>
    <t>Feb</t>
  </si>
  <si>
    <t>Mar</t>
  </si>
  <si>
    <t>Apr</t>
  </si>
  <si>
    <r>
      <t>1) Calculation on an array of items rather than single items called an "</t>
    </r>
    <r>
      <rPr>
        <b/>
        <i/>
        <u/>
        <sz val="11"/>
        <color theme="1"/>
        <rFont val="Calibri"/>
        <family val="2"/>
        <scheme val="minor"/>
      </rPr>
      <t>Array Calculation</t>
    </r>
    <r>
      <rPr>
        <sz val="11"/>
        <color theme="1"/>
        <rFont val="Calibri"/>
        <family val="2"/>
        <scheme val="minor"/>
      </rPr>
      <t>" or "</t>
    </r>
    <r>
      <rPr>
        <b/>
        <i/>
        <u/>
        <sz val="11"/>
        <color theme="1"/>
        <rFont val="Calibri"/>
        <family val="2"/>
        <scheme val="minor"/>
      </rPr>
      <t>Array Operation</t>
    </r>
    <r>
      <rPr>
        <sz val="11"/>
        <color theme="1"/>
        <rFont val="Calibri"/>
        <family val="2"/>
        <scheme val="minor"/>
      </rPr>
      <t>".</t>
    </r>
  </si>
  <si>
    <t>Revenue</t>
  </si>
  <si>
    <t>Operating</t>
  </si>
  <si>
    <t>Administrative</t>
  </si>
  <si>
    <t>Other</t>
  </si>
  <si>
    <t>Total Expenses</t>
  </si>
  <si>
    <t>Net Income</t>
  </si>
  <si>
    <r>
      <t>Array Formula 1:</t>
    </r>
    <r>
      <rPr>
        <sz val="11"/>
        <color theme="1"/>
        <rFont val="Calibri"/>
        <family val="2"/>
        <scheme val="minor"/>
      </rPr>
      <t xml:space="preserve"> Math Array Operation.</t>
    </r>
  </si>
  <si>
    <t>Assumption Table (Formula Inputs)</t>
  </si>
  <si>
    <r>
      <t>Goal:</t>
    </r>
    <r>
      <rPr>
        <sz val="11"/>
        <color theme="1"/>
        <rFont val="Calibri"/>
        <family val="2"/>
        <scheme val="minor"/>
      </rPr>
      <t xml:space="preserve"> Calculate Total Expense for each month without making calculations in many cells.</t>
    </r>
  </si>
  <si>
    <r>
      <t>Array Formula 2:</t>
    </r>
    <r>
      <rPr>
        <sz val="11"/>
        <color theme="1"/>
        <rFont val="Calibri"/>
        <family val="2"/>
        <scheme val="minor"/>
      </rPr>
      <t xml:space="preserve"> Math Array Operations.</t>
    </r>
  </si>
  <si>
    <t>Why Array Formula?</t>
  </si>
  <si>
    <t>We wanted our Excel solution to be more compact.</t>
  </si>
  <si>
    <r>
      <t>2) Calculation results in an array of answer called "</t>
    </r>
    <r>
      <rPr>
        <b/>
        <i/>
        <u/>
        <sz val="11"/>
        <color theme="1"/>
        <rFont val="Calibri"/>
        <family val="2"/>
        <scheme val="minor"/>
      </rPr>
      <t>Resultant Array</t>
    </r>
    <r>
      <rPr>
        <sz val="11"/>
        <color theme="1"/>
        <rFont val="Calibri"/>
        <family val="2"/>
        <scheme val="minor"/>
      </rPr>
      <t>".</t>
    </r>
  </si>
  <si>
    <t>Because we did not need all the individual numbers &amp; we did not want to make many calculations in many cells.</t>
  </si>
  <si>
    <r>
      <t>Goal:</t>
    </r>
    <r>
      <rPr>
        <sz val="11"/>
        <color theme="1"/>
        <rFont val="Calibri"/>
        <family val="2"/>
        <scheme val="minor"/>
      </rPr>
      <t xml:space="preserve"> Calculate Total Expense and Total Net Income.</t>
    </r>
  </si>
  <si>
    <t>*All other functions that contain Array Calculations require Ctrl + Shift + Enter.</t>
  </si>
  <si>
    <t>SUMPRODUCT</t>
  </si>
  <si>
    <t>AGGREGATE</t>
  </si>
  <si>
    <r>
      <t xml:space="preserve">Definition of </t>
    </r>
    <r>
      <rPr>
        <b/>
        <i/>
        <u/>
        <sz val="11"/>
        <color theme="1"/>
        <rFont val="Calibri"/>
        <family val="2"/>
        <scheme val="minor"/>
      </rPr>
      <t>Array Formula</t>
    </r>
    <r>
      <rPr>
        <sz val="11"/>
        <color theme="1"/>
        <rFont val="Calibri"/>
        <family val="2"/>
        <scheme val="minor"/>
      </rPr>
      <t>:</t>
    </r>
  </si>
  <si>
    <r>
      <t xml:space="preserve">Whether or not you are required to use </t>
    </r>
    <r>
      <rPr>
        <b/>
        <sz val="11"/>
        <color rgb="FFFF0000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is determined by:</t>
    </r>
  </si>
  <si>
    <t>5) Specific Array Functions like TRANSPOSE deliver an array of values and require that you highlight a range of cells and then use the key stroke Ctrl + Shift + Enter.</t>
  </si>
  <si>
    <r>
      <t xml:space="preserve">4) Some Array Formulas require you to enter the formula with the special keystroke </t>
    </r>
    <r>
      <rPr>
        <b/>
        <sz val="11"/>
        <color rgb="FFFF0000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in order for it to evaluate to the correct answer.</t>
    </r>
  </si>
  <si>
    <t>[1] The function argument that the Array Calculation sits in.</t>
  </si>
  <si>
    <t>[3] If you are entering the array of values into multiple cells simultaneously (like with an Array Function) you must use Ctrl + Shift + Enter.</t>
  </si>
  <si>
    <r>
      <rPr>
        <b/>
        <sz val="11"/>
        <rFont val="Calibri"/>
        <family val="2"/>
        <scheme val="minor"/>
      </rPr>
      <t xml:space="preserve">How </t>
    </r>
    <r>
      <rPr>
        <b/>
        <sz val="11"/>
        <color rgb="FFFF0000"/>
        <rFont val="Calibri"/>
        <family val="2"/>
        <scheme val="minor"/>
      </rPr>
      <t>Ctrl + Shift + Enter</t>
    </r>
    <r>
      <rPr>
        <b/>
        <sz val="11"/>
        <rFont val="Calibri"/>
        <family val="2"/>
        <scheme val="minor"/>
      </rPr>
      <t xml:space="preserve"> works:</t>
    </r>
  </si>
  <si>
    <t>[1] When you use Ctrl + Shift + Enter, you are telling Excel that the formula is an Array Formula.</t>
  </si>
  <si>
    <t>[2] After you use Ctrl + Shift + Enter, Excel puts curly brackets { } at the beginning and end of the Array Formula to indicate that it understood that you were entering an Array Formula.</t>
  </si>
  <si>
    <t>[3] If you DON'T use Ctrl + Shift + Enter and you are required to, you will get a #VALUE! Error or the wrong answer.</t>
  </si>
  <si>
    <t>6) Array Formulas can be useful because they can allow: 1) compact Excel solutions, shorter formulas and sometimes array formulas are the only way to accomplish the goal.</t>
  </si>
  <si>
    <t>7) Drawbacks for Array Formulas: with large Array Calculations, calculation time for the Excel file can slow down.</t>
  </si>
  <si>
    <t>It is all about Function Argument!!! :)</t>
  </si>
  <si>
    <r>
      <t>Array Formula 3:</t>
    </r>
    <r>
      <rPr>
        <sz val="11"/>
        <color theme="1"/>
        <rFont val="Calibri"/>
        <family val="2"/>
        <scheme val="minor"/>
      </rPr>
      <t xml:space="preserve"> Math Array Operations.</t>
    </r>
  </si>
  <si>
    <t>Sales Team 1</t>
  </si>
  <si>
    <t>Sales Team 2</t>
  </si>
  <si>
    <t>Sales Team 3</t>
  </si>
  <si>
    <t>Sales Team 4</t>
  </si>
  <si>
    <t>June</t>
  </si>
  <si>
    <t>Sioux</t>
  </si>
  <si>
    <t>Tyrone</t>
  </si>
  <si>
    <t>Gigi</t>
  </si>
  <si>
    <t>Chin</t>
  </si>
  <si>
    <t>Shelia</t>
  </si>
  <si>
    <t>Add 3 Biggest</t>
  </si>
  <si>
    <t>Add 3 Fastest</t>
  </si>
  <si>
    <r>
      <t>Goal:</t>
    </r>
    <r>
      <rPr>
        <sz val="11"/>
        <color theme="1"/>
        <rFont val="Calibri"/>
        <family val="2"/>
        <scheme val="minor"/>
      </rPr>
      <t xml:space="preserve"> Add 3 biggest and 3 smallest.</t>
    </r>
  </si>
  <si>
    <t>COGS for Jan</t>
  </si>
  <si>
    <r>
      <rPr>
        <b/>
        <sz val="11"/>
        <color rgb="FFFF0000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because </t>
    </r>
    <r>
      <rPr>
        <b/>
        <sz val="11"/>
        <color theme="1"/>
        <rFont val="Calibri"/>
        <family val="2"/>
        <scheme val="minor"/>
      </rPr>
      <t>SUM number1 argument</t>
    </r>
    <r>
      <rPr>
        <sz val="11"/>
        <color theme="1"/>
        <rFont val="Calibri"/>
        <family val="2"/>
        <scheme val="minor"/>
      </rPr>
      <t xml:space="preserve"> requires it.</t>
    </r>
  </si>
  <si>
    <r>
      <t>Goal:</t>
    </r>
    <r>
      <rPr>
        <sz val="11"/>
        <color theme="1"/>
        <rFont val="Calibri"/>
        <family val="2"/>
        <scheme val="minor"/>
      </rPr>
      <t xml:space="preserve"> Calculate Overall Total Expense in a single cell.</t>
    </r>
  </si>
  <si>
    <t>Totals</t>
  </si>
  <si>
    <r>
      <t>Goal:</t>
    </r>
    <r>
      <rPr>
        <sz val="11"/>
        <color theme="1"/>
        <rFont val="Calibri"/>
        <family val="2"/>
        <scheme val="minor"/>
      </rPr>
      <t xml:space="preserve"> Calculate Overall Net Income in a single cell.</t>
    </r>
  </si>
  <si>
    <t>Fred</t>
  </si>
  <si>
    <t>Kip</t>
  </si>
  <si>
    <t>Pham</t>
  </si>
  <si>
    <t>Irene</t>
  </si>
  <si>
    <t>Al</t>
  </si>
  <si>
    <t>Mo</t>
  </si>
  <si>
    <t>Sales Rep</t>
  </si>
  <si>
    <t>Poppi</t>
  </si>
  <si>
    <t>Sandi</t>
  </si>
  <si>
    <t>Mel</t>
  </si>
  <si>
    <t>Abdi</t>
  </si>
  <si>
    <r>
      <t xml:space="preserve">Error you get if you don't use Ctrl + Shift + Enter if it is required: </t>
    </r>
    <r>
      <rPr>
        <b/>
        <sz val="11"/>
        <rFont val="Calibri"/>
        <family val="2"/>
        <scheme val="minor"/>
      </rPr>
      <t>#VALUE!</t>
    </r>
  </si>
  <si>
    <r>
      <t>When you use</t>
    </r>
    <r>
      <rPr>
        <b/>
        <sz val="11"/>
        <rFont val="Calibri"/>
        <family val="2"/>
        <scheme val="minor"/>
      </rPr>
      <t xml:space="preserve"> Ctrl + Shift + Enter</t>
    </r>
    <r>
      <rPr>
        <sz val="11"/>
        <rFont val="Calibri"/>
        <family val="2"/>
        <scheme val="minor"/>
      </rPr>
      <t xml:space="preserve">, </t>
    </r>
    <r>
      <rPr>
        <sz val="11"/>
        <color theme="1"/>
        <rFont val="Calibri"/>
        <family val="2"/>
        <scheme val="minor"/>
      </rPr>
      <t>remember to look in formula bar to verify that curly brackets { } have been entered (only sure way to verify that it will calculate correctly.</t>
    </r>
  </si>
  <si>
    <t>*We give the criteria1 argument 4 criteria, so SUMIFS delivers 4 answers. (this is OR Criteria)</t>
  </si>
  <si>
    <r>
      <t>Goal:</t>
    </r>
    <r>
      <rPr>
        <sz val="11"/>
        <color theme="1"/>
        <rFont val="Calibri"/>
        <family val="2"/>
        <scheme val="minor"/>
      </rPr>
      <t xml:space="preserve"> Add Sales for each Sales Team.</t>
    </r>
  </si>
  <si>
    <t>Race Times (min)</t>
  </si>
  <si>
    <t>Location</t>
  </si>
  <si>
    <t>Time (Minutes) To Assemble Product</t>
  </si>
  <si>
    <t>Seattle</t>
  </si>
  <si>
    <t>Min Time</t>
  </si>
  <si>
    <r>
      <rPr>
        <b/>
        <sz val="11"/>
        <color rgb="FFFF0000"/>
        <rFont val="Calibri"/>
        <family val="2"/>
        <scheme val="minor"/>
      </rPr>
      <t>NO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because </t>
    </r>
    <r>
      <rPr>
        <b/>
        <sz val="11"/>
        <color theme="1"/>
        <rFont val="Calibri"/>
        <family val="2"/>
        <scheme val="minor"/>
      </rPr>
      <t>SUMPRODUCT array argument</t>
    </r>
    <r>
      <rPr>
        <sz val="11"/>
        <color theme="1"/>
        <rFont val="Calibri"/>
        <family val="2"/>
        <scheme val="minor"/>
      </rPr>
      <t xml:space="preserve"> does not require it.</t>
    </r>
  </si>
  <si>
    <r>
      <rPr>
        <b/>
        <sz val="11"/>
        <color rgb="FFFF0000"/>
        <rFont val="Calibri"/>
        <family val="2"/>
        <scheme val="minor"/>
      </rPr>
      <t>NO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Ctrl + Shift + Enter</t>
    </r>
    <r>
      <rPr>
        <sz val="11"/>
        <rFont val="Calibri"/>
        <family val="2"/>
        <scheme val="minor"/>
      </rPr>
      <t xml:space="preserve"> because when you use an Array Constant, Ctrl + Shift + Enter is NOT required.</t>
    </r>
  </si>
  <si>
    <r>
      <rPr>
        <b/>
        <sz val="11"/>
        <color rgb="FFFF0000"/>
        <rFont val="Calibri"/>
        <family val="2"/>
        <scheme val="minor"/>
      </rPr>
      <t>NO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Ctrl + Shift + Enter…</t>
    </r>
  </si>
  <si>
    <t>MINIFS function was introduced in the "Insider Program" Excel 2016.</t>
  </si>
  <si>
    <t>The "filter" to remove values that do not match the criteria = FALSE values.</t>
  </si>
  <si>
    <t>The "filter" to remove values that do not match the criteria = #DIV/0! values.</t>
  </si>
  <si>
    <r>
      <t xml:space="preserve">AGGREGATE function was introduced in Excel 2010. Functions 14-19 can perform Array Calculations with </t>
    </r>
    <r>
      <rPr>
        <b/>
        <sz val="11"/>
        <color rgb="FFFF0000"/>
        <rFont val="Calibri"/>
        <family val="2"/>
        <scheme val="minor"/>
      </rPr>
      <t>NO</t>
    </r>
    <r>
      <rPr>
        <b/>
        <sz val="11"/>
        <color theme="1"/>
        <rFont val="Calibri"/>
        <family val="2"/>
        <scheme val="minor"/>
      </rPr>
      <t xml:space="preserve"> Ctrl + Shift + Enter</t>
    </r>
    <r>
      <rPr>
        <sz val="11"/>
        <color theme="1"/>
        <rFont val="Calibri"/>
        <family val="2"/>
        <scheme val="minor"/>
      </rPr>
      <t>.</t>
    </r>
  </si>
  <si>
    <t>This is not an array formula. It is similar to SUMIFS and COUNTIFS.</t>
  </si>
  <si>
    <t>1) Count Rows and Columns = 2 x 4</t>
  </si>
  <si>
    <t>2) Highlight range that is 4 x 2 (rows and columns)</t>
  </si>
  <si>
    <t>3) Use Array Function TRANSPOSE</t>
  </si>
  <si>
    <t>**Note Array of values is considered a single unit. You cannot delete one cell in the array, or insert a row. The only way to delete is to delete the whole thing.</t>
  </si>
  <si>
    <r>
      <t xml:space="preserve">4) Must use </t>
    </r>
    <r>
      <rPr>
        <b/>
        <sz val="11"/>
        <color rgb="FFFF0000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because we are entering an array into multiple cells simultaneously.</t>
    </r>
  </si>
  <si>
    <r>
      <t>Goal:</t>
    </r>
    <r>
      <rPr>
        <sz val="11"/>
        <color theme="1"/>
        <rFont val="Calibri"/>
        <family val="2"/>
        <scheme val="minor"/>
      </rPr>
      <t xml:space="preserve"> Transpose rows and columns so we have Assumption Table that allows Mixed Cell References.</t>
    </r>
  </si>
  <si>
    <t>Assumption Table</t>
  </si>
  <si>
    <r>
      <t>Goal:</t>
    </r>
    <r>
      <rPr>
        <sz val="11"/>
        <color theme="1"/>
        <rFont val="Calibri"/>
        <family val="2"/>
        <scheme val="minor"/>
      </rPr>
      <t xml:space="preserve"> Calculate Net Income in a single cell.</t>
    </r>
  </si>
  <si>
    <r>
      <t xml:space="preserve">Must use </t>
    </r>
    <r>
      <rPr>
        <b/>
        <sz val="11"/>
        <color rgb="FFFF0000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because of TRANSPOSE Array Function.</t>
    </r>
  </si>
  <si>
    <t>Category</t>
  </si>
  <si>
    <t>Upper Limit</t>
  </si>
  <si>
    <t>Frequency</t>
  </si>
  <si>
    <t>FREQUENCY always creates one more category than the number of upper limits you give it.</t>
  </si>
  <si>
    <t>TRANSPOSE function converts a horizontal range to a vertical range, and vice versa.</t>
  </si>
  <si>
    <t>2) Use Array Function FREQUENCY</t>
  </si>
  <si>
    <r>
      <t xml:space="preserve">3) Must use </t>
    </r>
    <r>
      <rPr>
        <b/>
        <sz val="11"/>
        <color rgb="FFFF0000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because we are entering an array into multiple cells simultaneously.</t>
    </r>
  </si>
  <si>
    <t>Steps:</t>
  </si>
  <si>
    <t>The bins_array argument contains the upper values for the categories—numbers only.</t>
  </si>
  <si>
    <t>The data_array argument contains the values to count—numbers only.</t>
  </si>
  <si>
    <r>
      <rPr>
        <b/>
        <sz val="11"/>
        <color theme="1"/>
        <rFont val="Calibri"/>
        <family val="2"/>
        <scheme val="minor"/>
      </rPr>
      <t>FREQUENCY</t>
    </r>
    <r>
      <rPr>
        <sz val="11"/>
        <color theme="1"/>
        <rFont val="Calibri"/>
        <family val="2"/>
        <scheme val="minor"/>
      </rPr>
      <t xml:space="preserve"> counts how many numbers are in each category.</t>
    </r>
  </si>
  <si>
    <t>Test Results:</t>
  </si>
  <si>
    <t>Lookup Table:</t>
  </si>
  <si>
    <t>Score Myers-Briggs Test</t>
  </si>
  <si>
    <t>Question</t>
  </si>
  <si>
    <t>Answer</t>
  </si>
  <si>
    <t>Join</t>
  </si>
  <si>
    <t>E</t>
  </si>
  <si>
    <t>F</t>
  </si>
  <si>
    <t>I</t>
  </si>
  <si>
    <t>J</t>
  </si>
  <si>
    <t>N</t>
  </si>
  <si>
    <t>P</t>
  </si>
  <si>
    <t>S</t>
  </si>
  <si>
    <t>T</t>
  </si>
  <si>
    <t>a</t>
  </si>
  <si>
    <t>1a</t>
  </si>
  <si>
    <t>11b</t>
  </si>
  <si>
    <t>12b</t>
  </si>
  <si>
    <t>11a</t>
  </si>
  <si>
    <t>18b</t>
  </si>
  <si>
    <t>10a</t>
  </si>
  <si>
    <t>18a</t>
  </si>
  <si>
    <t>10b</t>
  </si>
  <si>
    <t>12a</t>
  </si>
  <si>
    <t>2a</t>
  </si>
  <si>
    <t>15a</t>
  </si>
  <si>
    <t>14a</t>
  </si>
  <si>
    <t>15b</t>
  </si>
  <si>
    <t>23b</t>
  </si>
  <si>
    <t>13b</t>
  </si>
  <si>
    <t>23a</t>
  </si>
  <si>
    <t>13a</t>
  </si>
  <si>
    <t>14b</t>
  </si>
  <si>
    <t>b</t>
  </si>
  <si>
    <t>3b</t>
  </si>
  <si>
    <t>19a</t>
  </si>
  <si>
    <t>20b</t>
  </si>
  <si>
    <t>19b</t>
  </si>
  <si>
    <t>26a</t>
  </si>
  <si>
    <t>16b</t>
  </si>
  <si>
    <t>26b</t>
  </si>
  <si>
    <t>16a</t>
  </si>
  <si>
    <t>20a</t>
  </si>
  <si>
    <t>4a</t>
  </si>
  <si>
    <t>22b</t>
  </si>
  <si>
    <t>24a</t>
  </si>
  <si>
    <t>22a</t>
  </si>
  <si>
    <t>31a</t>
  </si>
  <si>
    <t>17b</t>
  </si>
  <si>
    <t>31b</t>
  </si>
  <si>
    <t>17a</t>
  </si>
  <si>
    <t>24b</t>
  </si>
  <si>
    <t>5a</t>
  </si>
  <si>
    <t>27a</t>
  </si>
  <si>
    <t>25b</t>
  </si>
  <si>
    <t>27b</t>
  </si>
  <si>
    <t>4b</t>
  </si>
  <si>
    <t>1b</t>
  </si>
  <si>
    <t>25a</t>
  </si>
  <si>
    <t>6b</t>
  </si>
  <si>
    <t>2b</t>
  </si>
  <si>
    <t>29a</t>
  </si>
  <si>
    <t>7a</t>
  </si>
  <si>
    <t>21b</t>
  </si>
  <si>
    <t>7b</t>
  </si>
  <si>
    <t>21a</t>
  </si>
  <si>
    <t>29b</t>
  </si>
  <si>
    <t>32a</t>
  </si>
  <si>
    <t>32b</t>
  </si>
  <si>
    <t>8b</t>
  </si>
  <si>
    <t>28a</t>
  </si>
  <si>
    <t>8a</t>
  </si>
  <si>
    <t>28b</t>
  </si>
  <si>
    <t>3a</t>
  </si>
  <si>
    <t>5b</t>
  </si>
  <si>
    <t>6a</t>
  </si>
  <si>
    <t>9a</t>
  </si>
  <si>
    <t>30a</t>
  </si>
  <si>
    <t>9b</t>
  </si>
  <si>
    <t>30b</t>
  </si>
  <si>
    <t>Score:</t>
  </si>
  <si>
    <r>
      <t>Goal:</t>
    </r>
    <r>
      <rPr>
        <sz val="11"/>
        <color theme="1"/>
        <rFont val="Calibri"/>
        <family val="2"/>
        <scheme val="minor"/>
      </rPr>
      <t xml:space="preserve"> Score Myers-Briggs Test in Human Resource Department.</t>
    </r>
  </si>
  <si>
    <r>
      <t>Goal:</t>
    </r>
    <r>
      <rPr>
        <sz val="11"/>
        <color theme="1"/>
        <rFont val="Calibri"/>
        <family val="2"/>
        <scheme val="minor"/>
      </rPr>
      <t xml:space="preserve"> Count how many sales are in each category.</t>
    </r>
  </si>
  <si>
    <t>*We use SUMPRODUCT to add the Resultant Array created by SUMIFS.</t>
  </si>
  <si>
    <t>If we only had raw data for Question and Answer:</t>
  </si>
  <si>
    <t>1) Highlight range that is row taller than there are Upper Limits.</t>
  </si>
  <si>
    <t>Calculate Gross Profit (Revenue - COGS)  in cell D5:</t>
  </si>
  <si>
    <t>Jo</t>
  </si>
  <si>
    <t>Calculate Max Gross Profit for Mo and Jo:</t>
  </si>
  <si>
    <t>Max</t>
  </si>
  <si>
    <t>or</t>
  </si>
  <si>
    <t>Calculate MIN Gross Profit for Mo and Jo:</t>
  </si>
  <si>
    <t>Min</t>
  </si>
  <si>
    <t>Calculate Average Gross Profit for Mo and Jo:</t>
  </si>
  <si>
    <t>Gross Profit:</t>
  </si>
  <si>
    <t>Calculate Gross Profit Standard Deviation for Mo and Jo:</t>
  </si>
  <si>
    <t>Calculate Median Standard Deviation for Mo and Jo:</t>
  </si>
  <si>
    <t>Using the array function, TRANSPOSE, transpose the table below somewhere on this worksheet.</t>
  </si>
  <si>
    <t>Region/Sales Rep</t>
  </si>
  <si>
    <t>Phil</t>
  </si>
  <si>
    <t>Dim</t>
  </si>
  <si>
    <t>Timmy</t>
  </si>
  <si>
    <t>West</t>
  </si>
  <si>
    <t>East</t>
  </si>
  <si>
    <t>South</t>
  </si>
  <si>
    <t>NorthWest</t>
  </si>
  <si>
    <r>
      <rPr>
        <b/>
        <sz val="11"/>
        <color theme="1"/>
        <rFont val="Calibri"/>
        <family val="2"/>
        <scheme val="minor"/>
      </rPr>
      <t xml:space="preserve">Ctrl + / </t>
    </r>
    <r>
      <rPr>
        <sz val="11"/>
        <color theme="1"/>
        <rFont val="Calibri"/>
        <family val="2"/>
        <scheme val="minor"/>
      </rPr>
      <t>to highlight current array.</t>
    </r>
  </si>
  <si>
    <t>Jack</t>
  </si>
  <si>
    <t>Tyson</t>
  </si>
  <si>
    <t>Average Gross Profit</t>
  </si>
  <si>
    <t>Add Top 5 Values for each Month</t>
  </si>
  <si>
    <t>North America</t>
  </si>
  <si>
    <t>South America</t>
  </si>
  <si>
    <t>Region</t>
  </si>
  <si>
    <t>Create a formula that can add sales based on Sales Team and Region.</t>
  </si>
  <si>
    <t>Check:</t>
  </si>
  <si>
    <t>Sum of Sales</t>
  </si>
  <si>
    <t>Row Labels</t>
  </si>
  <si>
    <t>Grand Total</t>
  </si>
  <si>
    <t>(Multiple Items)</t>
  </si>
  <si>
    <t>Standard Deviation Time</t>
  </si>
  <si>
    <t>&lt;&lt;==  Takes Longer to create PivotTAbles</t>
  </si>
  <si>
    <t>Upper Limits "hard coded" into formula:</t>
  </si>
  <si>
    <t>{50;20;10;5}</t>
  </si>
  <si>
    <t>=</t>
  </si>
  <si>
    <t>{50,75,100;20,30,40;10,15,20;5,7.5,10}</t>
  </si>
  <si>
    <t>Calculation</t>
  </si>
  <si>
    <t>Formula</t>
  </si>
  <si>
    <t>Array Operation</t>
  </si>
  <si>
    <t>The Math That Happens</t>
  </si>
  <si>
    <t>Resultant Array</t>
  </si>
  <si>
    <t>Error</t>
  </si>
  <si>
    <t>4 Rows x Single Cell is OKAY</t>
  </si>
  <si>
    <t>Single Cell x 4 Rows is OKAY</t>
  </si>
  <si>
    <t>4 Rows x 3 Columns OKAY</t>
  </si>
  <si>
    <t xml:space="preserve"> 3 Columns x 4 Rows OKAY</t>
  </si>
  <si>
    <t>4 Rows x 4 Rows Okay</t>
  </si>
  <si>
    <t>Size &amp; Shape of Arrays</t>
  </si>
  <si>
    <t>Jan Rev</t>
  </si>
  <si>
    <t>4 Columns by 4 Columns OKAY</t>
  </si>
  <si>
    <t>{50,20,10,5}</t>
  </si>
  <si>
    <t>If multiplying Rows x Rows, they MUST be same size</t>
  </si>
  <si>
    <t>{50;20;10;#N/A}</t>
  </si>
  <si>
    <t>If multiplying Columns x Columns, they MUST be same size</t>
  </si>
  <si>
    <t>{50,20,10,#N/A}</t>
  </si>
  <si>
    <t>Formula in F11: =TEXTJOIN(" + ",,A38:A41) (From 2016 Insider Program)</t>
  </si>
  <si>
    <t>100*0.5 + 100*0.2 + 100*0.1 + 100*0.05</t>
  </si>
  <si>
    <t>0.5*100 + 0.2*100 + 0.1*100 + 0.05*100</t>
  </si>
  <si>
    <t>100*0.5 + 150*0.5 + 200*0.5 + 100*0.2 + 150*0.2 + 200*0.2 + 100*0.1 + 150*0.1 + 200*0.1 + 100*0.05 + 150*0.05 + 200*0.05</t>
  </si>
  <si>
    <t>0.5*100 + 0.5*150 + 0.5*200 + 0.2*100 + 0.2*150 + 0.2*200 + 0.1*100 + 0.1*150 + 0.1*200 + 0.05*100 + 0.05*150 + 0.05*200</t>
  </si>
  <si>
    <t>Admin</t>
  </si>
  <si>
    <t>Definition of Array Formula:</t>
  </si>
  <si>
    <r>
      <t xml:space="preserve">1) </t>
    </r>
    <r>
      <rPr>
        <b/>
        <i/>
        <u/>
        <sz val="11"/>
        <color theme="1"/>
        <rFont val="Calibri"/>
        <family val="2"/>
        <scheme val="minor"/>
      </rPr>
      <t xml:space="preserve">Calculation on an array of items rather than single items </t>
    </r>
  </si>
  <si>
    <t>called "Array Calculation" or "Array Operation".</t>
  </si>
  <si>
    <r>
      <t xml:space="preserve">2) </t>
    </r>
    <r>
      <rPr>
        <b/>
        <i/>
        <u/>
        <sz val="11"/>
        <color theme="1"/>
        <rFont val="Calibri"/>
        <family val="2"/>
        <scheme val="minor"/>
      </rPr>
      <t>Calculation results in an array of answer</t>
    </r>
  </si>
  <si>
    <t>called "Resultant Array".</t>
  </si>
  <si>
    <t>Highline Excel 2016 Class 05: Introduction To Array Formulas</t>
  </si>
  <si>
    <t>LOOKUP</t>
  </si>
  <si>
    <t>INDEX</t>
  </si>
  <si>
    <t>CHI.SQ.TEST</t>
  </si>
  <si>
    <r>
      <t>Array Formula 6:</t>
    </r>
    <r>
      <rPr>
        <sz val="11"/>
        <color theme="1"/>
        <rFont val="Calibri"/>
        <family val="2"/>
        <scheme val="minor"/>
      </rPr>
      <t xml:space="preserve"> Function Argument Array Operation in criteria1 argument.</t>
    </r>
  </si>
  <si>
    <t>Number Bills</t>
  </si>
  <si>
    <r>
      <t xml:space="preserve">Goal: </t>
    </r>
    <r>
      <rPr>
        <sz val="11"/>
        <color theme="1"/>
        <rFont val="Calibri"/>
        <family val="2"/>
        <scheme val="minor"/>
      </rPr>
      <t>Calculate total Bank Deposit.</t>
    </r>
  </si>
  <si>
    <t xml:space="preserve">B4*B13 yields a single answer of 30422.63
</t>
  </si>
  <si>
    <t>By giving k argument three numbers {1,2,3}, we are telling LARGE and SMALL to deliver 3 answers</t>
  </si>
  <si>
    <t>Bill Denomination</t>
  </si>
  <si>
    <t>*We choose to create Array formula to avoid longer formula with many SUMIFS.</t>
  </si>
  <si>
    <r>
      <rPr>
        <b/>
        <sz val="11"/>
        <color rgb="FFFF0000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because </t>
    </r>
    <r>
      <rPr>
        <b/>
        <sz val="11"/>
        <color theme="1"/>
        <rFont val="Calibri"/>
        <family val="2"/>
        <scheme val="minor"/>
      </rPr>
      <t>MIN number1 argument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IF logical_test argument</t>
    </r>
    <r>
      <rPr>
        <sz val="11"/>
        <color theme="1"/>
        <rFont val="Calibri"/>
        <family val="2"/>
        <scheme val="minor"/>
      </rPr>
      <t xml:space="preserve"> requires it.</t>
    </r>
  </si>
  <si>
    <r>
      <rPr>
        <b/>
        <sz val="11"/>
        <color rgb="FFFF0000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because </t>
    </r>
    <r>
      <rPr>
        <b/>
        <sz val="11"/>
        <color theme="1"/>
        <rFont val="Calibri"/>
        <family val="2"/>
        <scheme val="minor"/>
      </rPr>
      <t>AVERAGE number1 argument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IF logical_test argument</t>
    </r>
    <r>
      <rPr>
        <sz val="11"/>
        <color theme="1"/>
        <rFont val="Calibri"/>
        <family val="2"/>
        <scheme val="minor"/>
      </rPr>
      <t xml:space="preserve"> &amp; IF value_if_true arguments all requires it.</t>
    </r>
  </si>
  <si>
    <r>
      <t>Standard Formula:</t>
    </r>
    <r>
      <rPr>
        <sz val="11"/>
        <color theme="1"/>
        <rFont val="Calibri"/>
        <family val="2"/>
        <scheme val="minor"/>
      </rPr>
      <t xml:space="preserve"> Formulas that calculate a single answer.</t>
    </r>
  </si>
  <si>
    <t>Bank Deposit</t>
  </si>
  <si>
    <t>If you are multiplying row x row or column x column or table x table (same thing times same thing) the demensions of the arrays must be the same</t>
  </si>
  <si>
    <r>
      <t xml:space="preserve">** All other function argumnets require </t>
    </r>
    <r>
      <rPr>
        <b/>
        <sz val="11"/>
        <color rgb="FFFF0000"/>
        <rFont val="Calibri"/>
        <family val="2"/>
        <scheme val="minor"/>
      </rPr>
      <t>Ctrl + Shift + Enter</t>
    </r>
  </si>
  <si>
    <r>
      <t xml:space="preserve">1) Five Special Functions that have arguments that do </t>
    </r>
    <r>
      <rPr>
        <b/>
        <sz val="11"/>
        <color rgb="FFFF0000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require </t>
    </r>
    <r>
      <rPr>
        <b/>
        <sz val="11"/>
        <color theme="1"/>
        <rFont val="Calibri"/>
        <family val="2"/>
        <scheme val="minor"/>
      </rPr>
      <t>Ctrl + Shift + Enter</t>
    </r>
  </si>
  <si>
    <r>
      <t xml:space="preserve">2) If you use Array Constant, </t>
    </r>
    <r>
      <rPr>
        <b/>
        <sz val="11"/>
        <color rgb="FFFF0000"/>
        <rFont val="Calibri"/>
        <family val="2"/>
        <scheme val="minor"/>
      </rPr>
      <t xml:space="preserve">NOT </t>
    </r>
    <r>
      <rPr>
        <sz val="11"/>
        <rFont val="Calibri"/>
        <family val="2"/>
        <scheme val="minor"/>
      </rPr>
      <t>require</t>
    </r>
    <r>
      <rPr>
        <b/>
        <sz val="11"/>
        <rFont val="Calibri"/>
        <family val="2"/>
        <scheme val="minor"/>
      </rPr>
      <t xml:space="preserve"> Ctrl + Shift + Enter</t>
    </r>
  </si>
  <si>
    <r>
      <t xml:space="preserve">3) Entering Array Formula into multile cells simultaneously will require </t>
    </r>
    <r>
      <rPr>
        <b/>
        <sz val="11"/>
        <color rgb="FFFF0000"/>
        <rFont val="Calibri"/>
        <family val="2"/>
        <scheme val="minor"/>
      </rPr>
      <t>Ctrl + Shift + Enter</t>
    </r>
  </si>
  <si>
    <r>
      <t xml:space="preserve">4) Array Formulas require the special keystroke </t>
    </r>
    <r>
      <rPr>
        <b/>
        <sz val="11"/>
        <color rgb="FFFF0000"/>
        <rFont val="Calibri"/>
        <family val="2"/>
        <scheme val="minor"/>
      </rPr>
      <t>Ctrl + Shift + Enter</t>
    </r>
    <r>
      <rPr>
        <sz val="11"/>
        <rFont val="Calibri"/>
        <family val="2"/>
        <scheme val="minor"/>
      </rPr>
      <t>, except these situations:</t>
    </r>
  </si>
  <si>
    <t>1) One of these five functions:</t>
  </si>
  <si>
    <t>[2] If the arrays being used in the Array Calculation are Array Constants, Ctrl + Shift + Enter is NOT required when you are entering the Array Formula into a single cell ([3] supersedes if you are entering Array Formula into multiple cells).</t>
  </si>
  <si>
    <r>
      <rPr>
        <sz val="11"/>
        <color theme="1"/>
        <rFont val="Calibri"/>
        <family val="2"/>
        <scheme val="minor"/>
      </rPr>
      <t xml:space="preserve">SUMPRODUCT </t>
    </r>
    <r>
      <rPr>
        <b/>
        <sz val="11"/>
        <color theme="1"/>
        <rFont val="Calibri"/>
        <family val="2"/>
        <scheme val="minor"/>
      </rPr>
      <t>array argumnet</t>
    </r>
    <r>
      <rPr>
        <sz val="11"/>
        <color theme="1"/>
        <rFont val="Calibri"/>
        <family val="2"/>
        <scheme val="minor"/>
      </rPr>
      <t xml:space="preserve"> allows Array Calculations with </t>
    </r>
    <r>
      <rPr>
        <b/>
        <sz val="11"/>
        <color rgb="FFFF0000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>.</t>
    </r>
  </si>
  <si>
    <r>
      <rPr>
        <sz val="11"/>
        <color theme="1"/>
        <rFont val="Calibri"/>
        <family val="2"/>
        <scheme val="minor"/>
      </rPr>
      <t xml:space="preserve">AGGREGATE </t>
    </r>
    <r>
      <rPr>
        <b/>
        <sz val="11"/>
        <color theme="1"/>
        <rFont val="Calibri"/>
        <family val="2"/>
        <scheme val="minor"/>
      </rPr>
      <t>array argumnet</t>
    </r>
    <r>
      <rPr>
        <sz val="11"/>
        <color theme="1"/>
        <rFont val="Calibri"/>
        <family val="2"/>
        <scheme val="minor"/>
      </rPr>
      <t xml:space="preserve"> allows Array Calculations with </t>
    </r>
    <r>
      <rPr>
        <b/>
        <sz val="11"/>
        <color rgb="FFFF0000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>.</t>
    </r>
  </si>
  <si>
    <r>
      <t xml:space="preserve">2) The arrays are Array Constants </t>
    </r>
    <r>
      <rPr>
        <b/>
        <sz val="11"/>
        <color rgb="FFFF0000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>.</t>
    </r>
  </si>
  <si>
    <t>B4*B13:B16 yields an array of answers of {30422.63;12756.17;10110.37;2643.8} (actual array ahs many more decimals)</t>
  </si>
  <si>
    <r>
      <t>Formula 4:</t>
    </r>
    <r>
      <rPr>
        <sz val="11"/>
        <color theme="1"/>
        <rFont val="Calibri"/>
        <family val="2"/>
        <scheme val="minor"/>
      </rPr>
      <t xml:space="preserve"> Use more than one argument in SUMPRODUCT.</t>
    </r>
  </si>
  <si>
    <r>
      <t xml:space="preserve">Array Formula 5: </t>
    </r>
    <r>
      <rPr>
        <sz val="11"/>
        <color theme="1"/>
        <rFont val="Calibri"/>
        <family val="2"/>
        <scheme val="minor"/>
      </rPr>
      <t>Function Argument Array Operation in k argument.</t>
    </r>
  </si>
  <si>
    <r>
      <t>Goal:</t>
    </r>
    <r>
      <rPr>
        <sz val="11"/>
        <color theme="1"/>
        <rFont val="Calibri"/>
        <family val="2"/>
        <scheme val="minor"/>
      </rPr>
      <t xml:space="preserve"> Get Min for each City.</t>
    </r>
  </si>
  <si>
    <r>
      <t xml:space="preserve">Array Formula 8: </t>
    </r>
    <r>
      <rPr>
        <sz val="11"/>
        <color theme="1"/>
        <rFont val="Calibri"/>
        <family val="2"/>
        <scheme val="minor"/>
      </rPr>
      <t>Function Argument Array Operation in criteria1 argument.</t>
    </r>
  </si>
  <si>
    <r>
      <t xml:space="preserve">Array Formula 9: </t>
    </r>
    <r>
      <rPr>
        <sz val="11"/>
        <color theme="1"/>
        <rFont val="Calibri"/>
        <family val="2"/>
        <scheme val="minor"/>
      </rPr>
      <t>Function Argument Array Operation in criteria1 argument. Join Array Operation.</t>
    </r>
  </si>
  <si>
    <r>
      <t>Array Formula 11:</t>
    </r>
    <r>
      <rPr>
        <sz val="11"/>
        <color theme="1"/>
        <rFont val="Calibri"/>
        <family val="2"/>
        <scheme val="minor"/>
      </rPr>
      <t xml:space="preserve"> Built-in Array Function: TRANSPOSE.</t>
    </r>
  </si>
  <si>
    <r>
      <t>Array Formula 12:</t>
    </r>
    <r>
      <rPr>
        <sz val="11"/>
        <color theme="1"/>
        <rFont val="Calibri"/>
        <family val="2"/>
        <scheme val="minor"/>
      </rPr>
      <t xml:space="preserve"> Built-in Array Function: FREQUENCY.</t>
    </r>
  </si>
  <si>
    <r>
      <t>Goal:</t>
    </r>
    <r>
      <rPr>
        <sz val="11"/>
        <color theme="1"/>
        <rFont val="Calibri"/>
        <family val="2"/>
        <scheme val="minor"/>
      </rPr>
      <t xml:space="preserve"> Calculate Average Gross Profit for Each Sales Rep.</t>
    </r>
  </si>
  <si>
    <r>
      <t>Array Formula 13:</t>
    </r>
    <r>
      <rPr>
        <sz val="11"/>
        <color theme="1"/>
        <rFont val="Calibri"/>
        <family val="2"/>
        <scheme val="minor"/>
      </rPr>
      <t xml:space="preserve"> Comparative Array Operation.</t>
    </r>
  </si>
  <si>
    <r>
      <t>Array Formula 14:</t>
    </r>
    <r>
      <rPr>
        <sz val="11"/>
        <color theme="1"/>
        <rFont val="Calibri"/>
        <family val="2"/>
        <scheme val="minor"/>
      </rPr>
      <t xml:space="preserve"> Built-in Array Function: TRANSPOSE.</t>
    </r>
  </si>
  <si>
    <r>
      <t>Array Formula 10:</t>
    </r>
    <r>
      <rPr>
        <sz val="11"/>
        <color theme="1"/>
        <rFont val="Calibri"/>
        <family val="2"/>
        <scheme val="minor"/>
      </rPr>
      <t xml:space="preserve"> IF function array formula to filter out values for an aggregate function.</t>
    </r>
  </si>
  <si>
    <t>No Example 7</t>
  </si>
  <si>
    <t>Aggregate vs. Array Calculations &amp; Define Array</t>
  </si>
  <si>
    <t>Define Array Formulas</t>
  </si>
  <si>
    <t>Example of non-array formula. Standard Formula: Formulas that calculate a single answer. Goal: Calculate Total Expense and Total Net Income.</t>
  </si>
  <si>
    <t>How to decide whether or not you must use Ctrl + Shift + Enter to put the array formula into the cell.</t>
  </si>
  <si>
    <t>Implicit Intersection.</t>
  </si>
  <si>
    <t>SUMPRODUCT function to house an array calculation to avoid using Ctrl + Shift + Enter.</t>
  </si>
  <si>
    <t>Array Formula 2: Math Array Operations. Goal: Calculate Overall Total Expense in a single cell.</t>
  </si>
  <si>
    <t>Array Formula 3: Math Array Operations. Goal: Calculate Overall Net Income in a single cell.</t>
  </si>
  <si>
    <t>Formula 4: Use more than one argument in SUMPRODUCT. Goal: Calculate total Bank Deposit. Learn about SUMPRODUCT and discussion about size and dimensions of arrays in array calculations.</t>
  </si>
  <si>
    <t>Array Formula 5: Function Argument Array Operation in k argument. Goal: Add 3 biggest and 3 smallest. Use Array Constant to avoid Ctrl + Shift + Enter.</t>
  </si>
  <si>
    <t>Array Formula 6: Function Argument Array Operation in criteria1 argument. Goal: Add Sales for each Sales Team. Example of using an Array Formula to create a MUCH smaller formula than non-Array Formula alternatives.</t>
  </si>
  <si>
    <t>Array Formula 8: Function Argument Array Operation in criteria1 argument. Goal: Score Myers-Briggs Test in Human Resource Department.</t>
  </si>
  <si>
    <t>Array Formula 9: Function Argument Array Operation in criteria1 argument. Join Array Operation. Goal: Score Myers-Briggs Test in Human Resource Department.</t>
  </si>
  <si>
    <t>List of Functions that can NEVER do Array Calculations.</t>
  </si>
  <si>
    <t>Array Formula 12: Built-in Array Function: FREQUENCY. Goal: Count how many sales are in each category.</t>
  </si>
  <si>
    <t>Example of Array Formula</t>
  </si>
  <si>
    <t>*Five functions that can perform Array Calculations WITHOUT using Ctrl + Shift + Enter: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</si>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</sst>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&quot;$&quot;#,##0.00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rgb="FF000000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2" borderId="1"/>
    <xf numFmtId="9" fontId="8" fillId="0" borderId="0" applyFont="0" applyFill="0" applyBorder="0" applyAlignment="0" applyProtection="0"/>
    <xf numFmtId="0" fontId="1" fillId="2" borderId="1">
      <alignment wrapText="1"/>
    </xf>
    <xf numFmtId="0" fontId="12" fillId="2" borderId="1">
      <alignment wrapText="1"/>
    </xf>
  </cellStyleXfs>
  <cellXfs count="121">
    <xf numFmtId="0" fontId="0" fillId="0" borderId="0" xfId="0"/>
    <xf numFmtId="0" fontId="2" fillId="2" borderId="1" xfId="0" applyFont="1" applyFill="1" applyBorder="1"/>
    <xf numFmtId="0" fontId="1" fillId="2" borderId="1" xfId="0" applyFont="1" applyFill="1" applyBorder="1"/>
    <xf numFmtId="0" fontId="0" fillId="0" borderId="1" xfId="0" applyBorder="1"/>
    <xf numFmtId="0" fontId="3" fillId="0" borderId="0" xfId="0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3" borderId="2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3" fillId="3" borderId="5" xfId="0" applyFont="1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 applyAlignment="1">
      <alignment horizontal="left"/>
    </xf>
    <xf numFmtId="0" fontId="0" fillId="3" borderId="8" xfId="0" applyFill="1" applyBorder="1"/>
    <xf numFmtId="0" fontId="0" fillId="3" borderId="9" xfId="0" applyFill="1" applyBorder="1"/>
    <xf numFmtId="0" fontId="2" fillId="2" borderId="1" xfId="1" applyBorder="1"/>
    <xf numFmtId="0" fontId="2" fillId="2" borderId="1" xfId="1"/>
    <xf numFmtId="0" fontId="0" fillId="4" borderId="1" xfId="0" applyFill="1" applyBorder="1"/>
    <xf numFmtId="0" fontId="3" fillId="0" borderId="10" xfId="0" applyFont="1" applyBorder="1"/>
    <xf numFmtId="0" fontId="3" fillId="0" borderId="11" xfId="0" applyFont="1" applyBorder="1"/>
    <xf numFmtId="0" fontId="0" fillId="3" borderId="2" xfId="0" applyFill="1" applyBorder="1"/>
    <xf numFmtId="0" fontId="0" fillId="3" borderId="5" xfId="0" applyFill="1" applyBorder="1"/>
    <xf numFmtId="0" fontId="0" fillId="3" borderId="7" xfId="0" applyFill="1" applyBorder="1"/>
    <xf numFmtId="0" fontId="5" fillId="3" borderId="10" xfId="0" applyFont="1" applyFill="1" applyBorder="1"/>
    <xf numFmtId="0" fontId="0" fillId="3" borderId="12" xfId="0" applyFill="1" applyBorder="1"/>
    <xf numFmtId="0" fontId="0" fillId="3" borderId="11" xfId="0" applyFill="1" applyBorder="1"/>
    <xf numFmtId="0" fontId="3" fillId="3" borderId="7" xfId="0" applyFont="1" applyFill="1" applyBorder="1"/>
    <xf numFmtId="0" fontId="3" fillId="0" borderId="1" xfId="0" applyNumberFormat="1" applyFont="1" applyBorder="1"/>
    <xf numFmtId="164" fontId="0" fillId="0" borderId="1" xfId="0" applyNumberFormat="1" applyBorder="1"/>
    <xf numFmtId="0" fontId="2" fillId="2" borderId="1" xfId="0" applyFont="1" applyFill="1" applyBorder="1" applyAlignment="1">
      <alignment horizontal="left" indent="1"/>
    </xf>
    <xf numFmtId="164" fontId="0" fillId="4" borderId="1" xfId="0" applyNumberFormat="1" applyFill="1" applyBorder="1"/>
    <xf numFmtId="164" fontId="0" fillId="6" borderId="4" xfId="0" applyNumberFormat="1" applyFill="1" applyBorder="1"/>
    <xf numFmtId="164" fontId="0" fillId="6" borderId="13" xfId="0" applyNumberFormat="1" applyFill="1" applyBorder="1"/>
    <xf numFmtId="0" fontId="2" fillId="5" borderId="7" xfId="0" applyFont="1" applyFill="1" applyBorder="1"/>
    <xf numFmtId="0" fontId="2" fillId="5" borderId="9" xfId="0" applyFont="1" applyFill="1" applyBorder="1"/>
    <xf numFmtId="10" fontId="0" fillId="0" borderId="1" xfId="0" applyNumberFormat="1" applyBorder="1"/>
    <xf numFmtId="164" fontId="0" fillId="7" borderId="14" xfId="0" applyNumberFormat="1" applyFill="1" applyBorder="1"/>
    <xf numFmtId="164" fontId="0" fillId="7" borderId="15" xfId="0" applyNumberFormat="1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6" xfId="0" applyFill="1" applyBorder="1"/>
    <xf numFmtId="0" fontId="0" fillId="8" borderId="5" xfId="0" applyFill="1" applyBorder="1" applyAlignment="1">
      <alignment horizontal="left" indent="2"/>
    </xf>
    <xf numFmtId="0" fontId="0" fillId="8" borderId="5" xfId="0" applyFill="1" applyBorder="1" applyAlignment="1">
      <alignment horizontal="left" indent="10"/>
    </xf>
    <xf numFmtId="0" fontId="0" fillId="8" borderId="7" xfId="0" applyFill="1" applyBorder="1" applyAlignment="1">
      <alignment horizontal="left" indent="2"/>
    </xf>
    <xf numFmtId="0" fontId="0" fillId="8" borderId="8" xfId="0" applyFill="1" applyBorder="1"/>
    <xf numFmtId="0" fontId="0" fillId="8" borderId="9" xfId="0" applyFill="1" applyBorder="1"/>
    <xf numFmtId="0" fontId="6" fillId="8" borderId="5" xfId="0" applyFont="1" applyFill="1" applyBorder="1" applyAlignment="1">
      <alignment horizontal="left" indent="1"/>
    </xf>
    <xf numFmtId="0" fontId="0" fillId="8" borderId="5" xfId="0" applyFill="1" applyBorder="1" applyAlignment="1">
      <alignment horizontal="left" indent="5"/>
    </xf>
    <xf numFmtId="0" fontId="0" fillId="8" borderId="2" xfId="0" applyFont="1" applyFill="1" applyBorder="1" applyAlignment="1">
      <alignment horizontal="left" indent="1"/>
    </xf>
    <xf numFmtId="0" fontId="0" fillId="3" borderId="10" xfId="0" applyFill="1" applyBorder="1"/>
    <xf numFmtId="0" fontId="0" fillId="4" borderId="1" xfId="0" applyNumberFormat="1" applyFill="1" applyBorder="1"/>
    <xf numFmtId="164" fontId="0" fillId="0" borderId="0" xfId="0" applyNumberFormat="1"/>
    <xf numFmtId="0" fontId="0" fillId="0" borderId="0" xfId="0" applyNumberFormat="1"/>
    <xf numFmtId="0" fontId="1" fillId="2" borderId="2" xfId="0" applyFont="1" applyFill="1" applyBorder="1" applyAlignment="1">
      <alignment wrapText="1"/>
    </xf>
    <xf numFmtId="0" fontId="1" fillId="2" borderId="13" xfId="0" applyFont="1" applyFill="1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0" fillId="10" borderId="2" xfId="0" applyFont="1" applyFill="1" applyBorder="1"/>
    <xf numFmtId="0" fontId="0" fillId="10" borderId="13" xfId="0" applyFont="1" applyFill="1" applyBorder="1"/>
    <xf numFmtId="165" fontId="0" fillId="4" borderId="1" xfId="0" applyNumberFormat="1" applyFill="1" applyBorder="1"/>
    <xf numFmtId="0" fontId="0" fillId="0" borderId="2" xfId="0" applyFont="1" applyBorder="1"/>
    <xf numFmtId="0" fontId="0" fillId="0" borderId="13" xfId="0" applyFont="1" applyBorder="1"/>
    <xf numFmtId="0" fontId="0" fillId="0" borderId="0" xfId="0" applyAlignment="1">
      <alignment horizontal="left" indent="1"/>
    </xf>
    <xf numFmtId="0" fontId="2" fillId="5" borderId="10" xfId="0" applyFont="1" applyFill="1" applyBorder="1"/>
    <xf numFmtId="0" fontId="2" fillId="5" borderId="12" xfId="0" applyFont="1" applyFill="1" applyBorder="1"/>
    <xf numFmtId="0" fontId="2" fillId="5" borderId="11" xfId="0" applyFont="1" applyFill="1" applyBorder="1"/>
    <xf numFmtId="10" fontId="0" fillId="0" borderId="1" xfId="2" applyNumberFormat="1" applyFont="1" applyBorder="1"/>
    <xf numFmtId="0" fontId="3" fillId="0" borderId="1" xfId="0" applyFont="1" applyBorder="1"/>
    <xf numFmtId="0" fontId="0" fillId="0" borderId="1" xfId="0" applyFont="1" applyBorder="1"/>
    <xf numFmtId="0" fontId="0" fillId="0" borderId="1" xfId="0" applyNumberFormat="1" applyFont="1" applyBorder="1"/>
    <xf numFmtId="0" fontId="11" fillId="12" borderId="1" xfId="0" applyFont="1" applyFill="1" applyBorder="1"/>
    <xf numFmtId="8" fontId="0" fillId="0" borderId="1" xfId="0" applyNumberFormat="1" applyFill="1" applyBorder="1"/>
    <xf numFmtId="0" fontId="10" fillId="4" borderId="1" xfId="0" applyFont="1" applyFill="1" applyBorder="1"/>
    <xf numFmtId="10" fontId="10" fillId="4" borderId="1" xfId="2" applyNumberFormat="1" applyFont="1" applyFill="1" applyBorder="1"/>
    <xf numFmtId="0" fontId="9" fillId="0" borderId="10" xfId="0" applyFont="1" applyFill="1" applyBorder="1"/>
    <xf numFmtId="0" fontId="9" fillId="0" borderId="11" xfId="0" applyFont="1" applyFill="1" applyBorder="1"/>
    <xf numFmtId="0" fontId="0" fillId="11" borderId="0" xfId="0" applyFill="1"/>
    <xf numFmtId="0" fontId="12" fillId="2" borderId="1" xfId="4" applyBorder="1">
      <alignment wrapText="1"/>
    </xf>
    <xf numFmtId="0" fontId="0" fillId="9" borderId="10" xfId="0" applyFill="1" applyBorder="1"/>
    <xf numFmtId="0" fontId="0" fillId="9" borderId="11" xfId="0" applyFill="1" applyBorder="1"/>
    <xf numFmtId="8" fontId="0" fillId="0" borderId="1" xfId="0" applyNumberFormat="1" applyBorder="1"/>
    <xf numFmtId="0" fontId="0" fillId="4" borderId="16" xfId="0" applyFill="1" applyBorder="1"/>
    <xf numFmtId="0" fontId="12" fillId="2" borderId="16" xfId="4" applyBorder="1">
      <alignment wrapText="1"/>
    </xf>
    <xf numFmtId="0" fontId="0" fillId="9" borderId="12" xfId="0" applyFill="1" applyBorder="1"/>
    <xf numFmtId="0" fontId="3" fillId="4" borderId="1" xfId="0" applyFont="1" applyFill="1" applyBorder="1"/>
    <xf numFmtId="8" fontId="0" fillId="4" borderId="1" xfId="0" applyNumberFormat="1" applyFill="1" applyBorder="1"/>
    <xf numFmtId="0" fontId="3" fillId="3" borderId="10" xfId="0" applyFont="1" applyFill="1" applyBorder="1"/>
    <xf numFmtId="0" fontId="0" fillId="0" borderId="1" xfId="0" applyFill="1" applyBorder="1"/>
    <xf numFmtId="0" fontId="0" fillId="0" borderId="16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NumberFormat="1" applyBorder="1"/>
    <xf numFmtId="0" fontId="0" fillId="0" borderId="1" xfId="0" quotePrefix="1" applyBorder="1" applyAlignment="1">
      <alignment horizontal="center"/>
    </xf>
    <xf numFmtId="0" fontId="3" fillId="0" borderId="0" xfId="0" applyNumberFormat="1" applyFont="1" applyBorder="1"/>
    <xf numFmtId="0" fontId="0" fillId="0" borderId="0" xfId="0" applyNumberFormat="1" applyBorder="1"/>
    <xf numFmtId="10" fontId="0" fillId="0" borderId="0" xfId="0" applyNumberFormat="1" applyBorder="1"/>
    <xf numFmtId="0" fontId="2" fillId="5" borderId="1" xfId="0" applyFont="1" applyFill="1" applyBorder="1"/>
    <xf numFmtId="0" fontId="0" fillId="0" borderId="1" xfId="0" quotePrefix="1" applyBorder="1" applyAlignment="1">
      <alignment horizontal="center" wrapText="1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5"/>
    </xf>
    <xf numFmtId="0" fontId="0" fillId="0" borderId="0" xfId="0" applyFill="1"/>
    <xf numFmtId="0" fontId="0" fillId="0" borderId="0" xfId="0" applyAlignment="1">
      <alignment horizontal="left" vertical="center" indent="5"/>
    </xf>
    <xf numFmtId="0" fontId="3" fillId="0" borderId="0" xfId="0" applyFont="1" applyAlignment="1">
      <alignment horizontal="left" vertical="center" indent="5"/>
    </xf>
    <xf numFmtId="6" fontId="0" fillId="0" borderId="1" xfId="0" applyNumberFormat="1" applyBorder="1"/>
    <xf numFmtId="0" fontId="3" fillId="0" borderId="0" xfId="0" applyFont="1" applyAlignment="1">
      <alignment horizontal="left" indent="3"/>
    </xf>
    <xf numFmtId="6" fontId="0" fillId="4" borderId="1" xfId="0" applyNumberFormat="1" applyFill="1" applyBorder="1"/>
    <xf numFmtId="0" fontId="0" fillId="0" borderId="1" xfId="0" applyFill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1" xfId="0" applyBorder="1"/>
    <xf numFmtId="164" fontId="0" fillId="0" borderId="10" xfId="0" applyNumberFormat="1" applyBorder="1"/>
    <xf numFmtId="0" fontId="12" fillId="2" borderId="9" xfId="4" applyBorder="1">
      <alignment wrapText="1"/>
    </xf>
    <xf numFmtId="0" fontId="1" fillId="2" borderId="16" xfId="0" applyFont="1" applyFill="1" applyBorder="1"/>
    <xf numFmtId="0" fontId="1" fillId="2" borderId="7" xfId="0" applyFont="1" applyFill="1" applyBorder="1"/>
    <xf numFmtId="0" fontId="0" fillId="0" borderId="4" xfId="0" applyBorder="1"/>
    <xf numFmtId="164" fontId="0" fillId="0" borderId="13" xfId="0" applyNumberFormat="1" applyBorder="1"/>
    <xf numFmtId="164" fontId="0" fillId="0" borderId="2" xfId="0" applyNumberFormat="1" applyBorder="1"/>
    <xf numFmtId="0" fontId="0" fillId="0" borderId="8" xfId="0" applyBorder="1"/>
    <xf numFmtId="8" fontId="0" fillId="0" borderId="10" xfId="0" applyNumberFormat="1" applyBorder="1"/>
    <xf numFmtId="8" fontId="0" fillId="0" borderId="13" xfId="0" applyNumberFormat="1" applyBorder="1"/>
    <xf numFmtId="8" fontId="0" fillId="0" borderId="2" xfId="0" applyNumberFormat="1" applyBorder="1"/>
  </cellXfs>
  <cellStyles count="5">
    <cellStyle name="Blue" xfId="3" xr:uid="{00000000-0005-0000-0000-000000000000}"/>
    <cellStyle name="blue 2" xfId="4" xr:uid="{00000000-0005-0000-0000-000001000000}"/>
    <cellStyle name="BlueHeader" xfId="1" xr:uid="{00000000-0005-0000-0000-000002000000}"/>
    <cellStyle name="Normal" xfId="0" builtinId="0"/>
    <cellStyle name="Percent" xfId="2" builtinId="5"/>
  </cellStyles>
  <dxfs count="13">
    <dxf>
      <numFmt numFmtId="0" formatCode="General"/>
    </dxf>
    <dxf>
      <numFmt numFmtId="12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2" formatCode="&quot;$&quot;#,##0.00_);[Red]\(&quot;$&quot;#,##0.0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CCFFCC"/>
      <color rgb="FFFFFFCC"/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514350</xdr:colOff>
      <xdr:row>0</xdr:row>
      <xdr:rowOff>83344</xdr:rowOff>
    </xdr:from>
    <xdr:to>
      <xdr:col>28</xdr:col>
      <xdr:colOff>259556</xdr:colOff>
      <xdr:row>20</xdr:row>
      <xdr:rowOff>64294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83344"/>
          <a:ext cx="11327606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Busn218-Video05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2489.671441319442" createdVersion="6" refreshedVersion="6" minRefreshableVersion="3" recordCount="42" xr:uid="{00000000-000A-0000-FFFF-FFFF00000000}">
  <cacheSource type="worksheet">
    <worksheetSource ref="A3:C45" sheet="HW(4an)" r:id="rId2"/>
  </cacheSource>
  <cacheFields count="3">
    <cacheField name="Sales Rep" numFmtId="0">
      <sharedItems count="15">
        <s v="Kip"/>
        <s v="June"/>
        <s v="Gigi"/>
        <s v="Mel"/>
        <s v="Tyrone"/>
        <s v="Chin"/>
        <s v="Abdi"/>
        <s v="Sandi"/>
        <s v="Shelia"/>
        <s v="Pham"/>
        <s v="Mo"/>
        <s v="Poppi"/>
        <s v="Irene"/>
        <s v="Sioux"/>
        <s v="Fred"/>
      </sharedItems>
    </cacheField>
    <cacheField name="Sales" numFmtId="0">
      <sharedItems containsSemiMixedTypes="0" containsString="0" containsNumber="1" containsInteger="1" minValue="132" maxValue="1635"/>
    </cacheField>
    <cacheField name="Region" numFmtId="0">
      <sharedItems count="2">
        <s v="North America"/>
        <s v="South Amer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n v="457"/>
    <x v="0"/>
  </r>
  <r>
    <x v="1"/>
    <n v="368"/>
    <x v="0"/>
  </r>
  <r>
    <x v="2"/>
    <n v="725"/>
    <x v="1"/>
  </r>
  <r>
    <x v="3"/>
    <n v="736"/>
    <x v="1"/>
  </r>
  <r>
    <x v="4"/>
    <n v="606"/>
    <x v="1"/>
  </r>
  <r>
    <x v="5"/>
    <n v="1418"/>
    <x v="1"/>
  </r>
  <r>
    <x v="6"/>
    <n v="1110"/>
    <x v="1"/>
  </r>
  <r>
    <x v="7"/>
    <n v="1489"/>
    <x v="0"/>
  </r>
  <r>
    <x v="1"/>
    <n v="175"/>
    <x v="0"/>
  </r>
  <r>
    <x v="8"/>
    <n v="1354"/>
    <x v="1"/>
  </r>
  <r>
    <x v="9"/>
    <n v="132"/>
    <x v="0"/>
  </r>
  <r>
    <x v="2"/>
    <n v="449"/>
    <x v="1"/>
  </r>
  <r>
    <x v="10"/>
    <n v="1333"/>
    <x v="0"/>
  </r>
  <r>
    <x v="7"/>
    <n v="1571"/>
    <x v="0"/>
  </r>
  <r>
    <x v="5"/>
    <n v="1553"/>
    <x v="0"/>
  </r>
  <r>
    <x v="4"/>
    <n v="1196"/>
    <x v="1"/>
  </r>
  <r>
    <x v="1"/>
    <n v="679"/>
    <x v="0"/>
  </r>
  <r>
    <x v="9"/>
    <n v="221"/>
    <x v="1"/>
  </r>
  <r>
    <x v="9"/>
    <n v="1097"/>
    <x v="0"/>
  </r>
  <r>
    <x v="2"/>
    <n v="473"/>
    <x v="0"/>
  </r>
  <r>
    <x v="4"/>
    <n v="573"/>
    <x v="1"/>
  </r>
  <r>
    <x v="2"/>
    <n v="1160"/>
    <x v="1"/>
  </r>
  <r>
    <x v="1"/>
    <n v="1268"/>
    <x v="0"/>
  </r>
  <r>
    <x v="7"/>
    <n v="1635"/>
    <x v="0"/>
  </r>
  <r>
    <x v="3"/>
    <n v="152"/>
    <x v="0"/>
  </r>
  <r>
    <x v="11"/>
    <n v="603"/>
    <x v="0"/>
  </r>
  <r>
    <x v="12"/>
    <n v="458"/>
    <x v="0"/>
  </r>
  <r>
    <x v="13"/>
    <n v="741"/>
    <x v="1"/>
  </r>
  <r>
    <x v="14"/>
    <n v="486"/>
    <x v="0"/>
  </r>
  <r>
    <x v="4"/>
    <n v="1227"/>
    <x v="0"/>
  </r>
  <r>
    <x v="11"/>
    <n v="981"/>
    <x v="0"/>
  </r>
  <r>
    <x v="14"/>
    <n v="798"/>
    <x v="0"/>
  </r>
  <r>
    <x v="13"/>
    <n v="1191"/>
    <x v="1"/>
  </r>
  <r>
    <x v="2"/>
    <n v="363"/>
    <x v="1"/>
  </r>
  <r>
    <x v="6"/>
    <n v="1332"/>
    <x v="0"/>
  </r>
  <r>
    <x v="10"/>
    <n v="1289"/>
    <x v="1"/>
  </r>
  <r>
    <x v="14"/>
    <n v="1625"/>
    <x v="0"/>
  </r>
  <r>
    <x v="9"/>
    <n v="1261"/>
    <x v="1"/>
  </r>
  <r>
    <x v="10"/>
    <n v="556"/>
    <x v="0"/>
  </r>
  <r>
    <x v="7"/>
    <n v="1441"/>
    <x v="0"/>
  </r>
  <r>
    <x v="14"/>
    <n v="337"/>
    <x v="1"/>
  </r>
  <r>
    <x v="14"/>
    <n v="28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2000000}" name="PivotTable6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27:I30" firstHeaderRow="1" firstDataRow="1" firstDataCol="1" rowPageCount="1" colPageCount="1"/>
  <pivotFields count="3">
    <pivotField axis="axisPage" multipleItemSelectionAllowed="1" showAll="0">
      <items count="16">
        <item h="1" x="1"/>
        <item x="6"/>
        <item h="1" x="5"/>
        <item x="14"/>
        <item h="1" x="2"/>
        <item h="1" x="12"/>
        <item x="0"/>
        <item h="1" x="3"/>
        <item h="1" x="10"/>
        <item x="9"/>
        <item h="1" x="11"/>
        <item h="1" x="7"/>
        <item h="1" x="8"/>
        <item h="1" x="13"/>
        <item h="1" x="4"/>
        <item t="default"/>
      </items>
    </pivotField>
    <pivotField dataField="1" showAll="0"/>
    <pivotField axis="axisRow" showAll="0">
      <items count="3">
        <item x="0"/>
        <item x="1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1">
    <pageField fld="0" hier="-1"/>
  </pageFields>
  <dataFields count="1">
    <dataField name="Sum of Sal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PivotTable5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20:H23" firstHeaderRow="1" firstDataRow="1" firstDataCol="1" rowPageCount="1" colPageCount="1"/>
  <pivotFields count="3">
    <pivotField axis="axisPage" multipleItemSelectionAllowed="1" showAll="0">
      <items count="16">
        <item h="1" x="1"/>
        <item h="1" x="6"/>
        <item x="5"/>
        <item h="1" x="14"/>
        <item x="2"/>
        <item h="1" x="12"/>
        <item h="1" x="0"/>
        <item h="1" x="3"/>
        <item h="1" x="10"/>
        <item h="1" x="9"/>
        <item h="1" x="11"/>
        <item x="7"/>
        <item x="8"/>
        <item h="1" x="13"/>
        <item h="1" x="4"/>
        <item t="default"/>
      </items>
    </pivotField>
    <pivotField dataField="1" showAll="0"/>
    <pivotField axis="axisRow" showAll="0">
      <items count="3">
        <item x="0"/>
        <item x="1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1">
    <pageField fld="0" hier="-1"/>
  </pageFields>
  <dataFields count="1">
    <dataField name="Sum of Sal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4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13:G16" firstHeaderRow="1" firstDataRow="1" firstDataCol="1" rowPageCount="1" colPageCount="1"/>
  <pivotFields count="3">
    <pivotField axis="axisPage" multipleItemSelectionAllowed="1" showAll="0">
      <items count="16">
        <item x="1"/>
        <item h="1" x="6"/>
        <item h="1" x="5"/>
        <item h="1" x="14"/>
        <item h="1" x="2"/>
        <item h="1" x="12"/>
        <item h="1" x="0"/>
        <item h="1" x="3"/>
        <item h="1" x="10"/>
        <item h="1" x="9"/>
        <item x="11"/>
        <item h="1" x="7"/>
        <item h="1" x="8"/>
        <item x="13"/>
        <item x="4"/>
        <item t="default"/>
      </items>
    </pivotField>
    <pivotField dataField="1" showAll="0"/>
    <pivotField axis="axisRow" showAll="0">
      <items count="3">
        <item x="0"/>
        <item x="1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1">
    <pageField fld="0" hier="-1"/>
  </pageFields>
  <dataFields count="1">
    <dataField name="Sum of Sal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3000000}" name="PivotTable7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34:J37" firstHeaderRow="1" firstDataRow="1" firstDataCol="1" rowPageCount="1" colPageCount="1"/>
  <pivotFields count="3">
    <pivotField axis="axisPage" multipleItemSelectionAllowed="1" showAll="0">
      <items count="16">
        <item h="1" x="1"/>
        <item h="1" x="6"/>
        <item h="1" x="5"/>
        <item h="1" x="14"/>
        <item h="1" x="2"/>
        <item x="12"/>
        <item h="1" x="0"/>
        <item x="3"/>
        <item x="10"/>
        <item h="1" x="9"/>
        <item h="1" x="11"/>
        <item h="1" x="7"/>
        <item h="1" x="8"/>
        <item h="1" x="13"/>
        <item h="1" x="4"/>
        <item t="default"/>
      </items>
    </pivotField>
    <pivotField dataField="1" showAll="0"/>
    <pivotField axis="axisRow" showAll="0">
      <items count="3">
        <item x="0"/>
        <item x="1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1">
    <pageField fld="0" hier="-1"/>
  </pageFields>
  <dataFields count="1">
    <dataField name="Sum of Sal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DF3E18-A8E4-48D8-89B9-78D5D2A1021B}" name="Table1" displayName="Table1" ref="A158:C178" totalsRowShown="0" headerRowBorderDxfId="12" tableBorderDxfId="11" totalsRowBorderDxfId="10">
  <autoFilter ref="A158:C178" xr:uid="{B3A2A770-81D7-441D-88B9-3993B5839F2D}"/>
  <tableColumns count="3">
    <tableColumn id="1" xr3:uid="{FCF293CA-0B16-480D-9B2C-F930D379518D}" name="Sales Rep" dataDxfId="9"/>
    <tableColumn id="2" xr3:uid="{53A486A6-8019-4F09-BEA5-7591CF9B41BD}" name="Revenue" dataDxfId="8"/>
    <tableColumn id="3" xr3:uid="{EC8637B5-877F-45C3-8718-5F815E00B9C5}" name="COGS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C14C4E-6D83-431D-B9B9-10813F9483ED}" name="HW1Tables" displayName="HW1Tables" ref="A4:D18" totalsRowShown="0" headerRowBorderDxfId="5" tableBorderDxfId="6" totalsRowBorderDxfId="4">
  <autoFilter ref="A4:D18" xr:uid="{1C5F3069-D6D9-42A2-BFD1-2828ABA335D6}"/>
  <tableColumns count="4">
    <tableColumn id="1" xr3:uid="{D251184B-87E1-46CD-8156-25EADC86FFEE}" name="Sales Rep" dataDxfId="3"/>
    <tableColumn id="2" xr3:uid="{58820277-2061-442F-A744-242FCDF11DEF}" name="Revenue" dataDxfId="2"/>
    <tableColumn id="3" xr3:uid="{9F8F9020-7098-440A-B033-1768E5D67E91}" name="COGS" dataDxfId="1"/>
    <tableColumn id="4" xr3:uid="{A8A0E0D6-6B96-4DFE-BD75-57812266B56E}" name="Profit" dataDxfId="0">
      <calculatedColumnFormula>HW1Tables[[#This Row],[Revenue]]-HW1Tables[[#This Row],[COGS]]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C20"/>
  <sheetViews>
    <sheetView zoomScale="115" zoomScaleNormal="115" workbookViewId="0">
      <selection activeCell="B9" sqref="B9:B10"/>
    </sheetView>
  </sheetViews>
  <sheetFormatPr defaultRowHeight="15" x14ac:dyDescent="0.25"/>
  <cols>
    <col min="2" max="2" width="116.42578125" customWidth="1"/>
  </cols>
  <sheetData>
    <row r="1" spans="1:2" x14ac:dyDescent="0.25">
      <c r="A1" s="1" t="s">
        <v>303</v>
      </c>
      <c r="B1" s="1"/>
    </row>
    <row r="3" spans="1:2" x14ac:dyDescent="0.25">
      <c r="A3" s="2" t="s">
        <v>0</v>
      </c>
      <c r="B3" s="1"/>
    </row>
    <row r="4" spans="1:2" x14ac:dyDescent="0.25">
      <c r="A4" s="3">
        <v>1</v>
      </c>
      <c r="B4" s="107" t="s">
        <v>342</v>
      </c>
    </row>
    <row r="5" spans="1:2" x14ac:dyDescent="0.25">
      <c r="A5" s="3">
        <v>2</v>
      </c>
      <c r="B5" s="107" t="s">
        <v>343</v>
      </c>
    </row>
    <row r="6" spans="1:2" ht="30" x14ac:dyDescent="0.25">
      <c r="A6" s="3">
        <v>3</v>
      </c>
      <c r="B6" s="107" t="s">
        <v>344</v>
      </c>
    </row>
    <row r="7" spans="1:2" x14ac:dyDescent="0.25">
      <c r="A7" s="3">
        <v>4</v>
      </c>
      <c r="B7" s="107" t="s">
        <v>357</v>
      </c>
    </row>
    <row r="8" spans="1:2" x14ac:dyDescent="0.25">
      <c r="A8" s="3">
        <v>5</v>
      </c>
      <c r="B8" s="107" t="s">
        <v>345</v>
      </c>
    </row>
    <row r="9" spans="1:2" x14ac:dyDescent="0.25">
      <c r="A9" s="3">
        <v>6</v>
      </c>
      <c r="B9" s="107" t="s">
        <v>346</v>
      </c>
    </row>
    <row r="10" spans="1:2" x14ac:dyDescent="0.25">
      <c r="A10" s="3">
        <v>7</v>
      </c>
      <c r="B10" s="107" t="s">
        <v>347</v>
      </c>
    </row>
    <row r="11" spans="1:2" x14ac:dyDescent="0.25">
      <c r="A11" s="3">
        <v>8</v>
      </c>
      <c r="B11" s="107" t="s">
        <v>348</v>
      </c>
    </row>
    <row r="12" spans="1:2" x14ac:dyDescent="0.25">
      <c r="A12" s="3">
        <v>9</v>
      </c>
      <c r="B12" s="107" t="s">
        <v>349</v>
      </c>
    </row>
    <row r="13" spans="1:2" ht="30" x14ac:dyDescent="0.25">
      <c r="A13" s="3">
        <v>10</v>
      </c>
      <c r="B13" s="107" t="s">
        <v>350</v>
      </c>
    </row>
    <row r="14" spans="1:2" ht="30" x14ac:dyDescent="0.25">
      <c r="A14" s="3">
        <v>11</v>
      </c>
      <c r="B14" s="107" t="s">
        <v>351</v>
      </c>
    </row>
    <row r="15" spans="1:2" ht="30" x14ac:dyDescent="0.25">
      <c r="A15" s="3">
        <v>12</v>
      </c>
      <c r="B15" s="108" t="s">
        <v>352</v>
      </c>
    </row>
    <row r="16" spans="1:2" x14ac:dyDescent="0.25">
      <c r="A16" s="3">
        <v>13</v>
      </c>
      <c r="B16" s="108" t="s">
        <v>341</v>
      </c>
    </row>
    <row r="17" spans="1:3" ht="30" x14ac:dyDescent="0.25">
      <c r="A17" s="3">
        <v>14</v>
      </c>
      <c r="B17" s="108" t="s">
        <v>353</v>
      </c>
    </row>
    <row r="18" spans="1:3" ht="30" x14ac:dyDescent="0.25">
      <c r="A18" s="3">
        <v>15</v>
      </c>
      <c r="B18" s="108" t="s">
        <v>354</v>
      </c>
    </row>
    <row r="19" spans="1:3" x14ac:dyDescent="0.25">
      <c r="A19" s="3">
        <v>16</v>
      </c>
      <c r="B19" s="108" t="s">
        <v>355</v>
      </c>
      <c r="C19" s="101"/>
    </row>
    <row r="20" spans="1:3" x14ac:dyDescent="0.25">
      <c r="A20" s="3">
        <v>17</v>
      </c>
      <c r="B20" s="108" t="s">
        <v>356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I31"/>
  <sheetViews>
    <sheetView topLeftCell="A37" zoomScale="115" zoomScaleNormal="115" workbookViewId="0">
      <selection activeCell="E7" sqref="E7"/>
    </sheetView>
  </sheetViews>
  <sheetFormatPr defaultRowHeight="15" x14ac:dyDescent="0.25"/>
  <cols>
    <col min="1" max="1" width="5.5703125" customWidth="1"/>
    <col min="2" max="2" width="21.5703125" customWidth="1"/>
    <col min="3" max="3" width="18" customWidth="1"/>
    <col min="4" max="4" width="21.28515625" customWidth="1"/>
    <col min="5" max="5" width="21.140625" customWidth="1"/>
    <col min="6" max="6" width="13.140625" customWidth="1"/>
    <col min="7" max="12" width="13.7109375" customWidth="1"/>
    <col min="13" max="13" width="10.140625" customWidth="1"/>
    <col min="14" max="14" width="5.140625" customWidth="1"/>
    <col min="15" max="15" width="25" customWidth="1"/>
    <col min="16" max="16" width="37.7109375" bestFit="1" customWidth="1"/>
  </cols>
  <sheetData>
    <row r="1" spans="1:9" ht="18.75" x14ac:dyDescent="0.3">
      <c r="A1" s="24" t="s">
        <v>7</v>
      </c>
      <c r="B1" s="25"/>
      <c r="C1" s="25"/>
      <c r="D1" s="25"/>
      <c r="E1" s="25"/>
      <c r="F1" s="25"/>
      <c r="G1" s="25"/>
      <c r="H1" s="25"/>
      <c r="I1" s="26"/>
    </row>
    <row r="3" spans="1:9" x14ac:dyDescent="0.25">
      <c r="A3" s="4" t="s">
        <v>8</v>
      </c>
      <c r="B3" s="7" t="s">
        <v>9</v>
      </c>
      <c r="C3" s="8"/>
      <c r="D3" s="9"/>
      <c r="F3" s="4" t="s">
        <v>1</v>
      </c>
    </row>
    <row r="4" spans="1:9" x14ac:dyDescent="0.25">
      <c r="B4" s="10" t="s">
        <v>10</v>
      </c>
      <c r="C4" s="11"/>
      <c r="D4" s="12"/>
      <c r="F4" t="s">
        <v>2</v>
      </c>
    </row>
    <row r="5" spans="1:9" x14ac:dyDescent="0.25">
      <c r="B5" s="13" t="s">
        <v>11</v>
      </c>
      <c r="C5" s="14"/>
      <c r="D5" s="15"/>
      <c r="F5" t="s">
        <v>3</v>
      </c>
    </row>
    <row r="7" spans="1:9" x14ac:dyDescent="0.25">
      <c r="B7" s="16" t="s">
        <v>12</v>
      </c>
      <c r="C7" s="16" t="s">
        <v>13</v>
      </c>
      <c r="E7" s="17" t="s">
        <v>14</v>
      </c>
    </row>
    <row r="8" spans="1:9" x14ac:dyDescent="0.25">
      <c r="B8" s="3" t="s">
        <v>15</v>
      </c>
      <c r="C8" s="3">
        <v>60</v>
      </c>
      <c r="E8" s="18">
        <f>SUM(C8:C12)</f>
        <v>190</v>
      </c>
    </row>
    <row r="9" spans="1:9" x14ac:dyDescent="0.25">
      <c r="B9" s="3" t="s">
        <v>16</v>
      </c>
      <c r="C9" s="3">
        <v>30</v>
      </c>
    </row>
    <row r="10" spans="1:9" x14ac:dyDescent="0.25">
      <c r="B10" s="3" t="s">
        <v>17</v>
      </c>
      <c r="C10" s="3">
        <v>25</v>
      </c>
    </row>
    <row r="11" spans="1:9" x14ac:dyDescent="0.25">
      <c r="B11" s="3" t="s">
        <v>18</v>
      </c>
      <c r="C11" s="3">
        <v>35</v>
      </c>
    </row>
    <row r="12" spans="1:9" x14ac:dyDescent="0.25">
      <c r="B12" s="3" t="s">
        <v>19</v>
      </c>
      <c r="C12" s="3">
        <v>40</v>
      </c>
    </row>
    <row r="14" spans="1:9" x14ac:dyDescent="0.25">
      <c r="A14" s="4" t="s">
        <v>20</v>
      </c>
      <c r="B14" s="7" t="s">
        <v>21</v>
      </c>
      <c r="C14" s="8"/>
      <c r="D14" s="9"/>
      <c r="F14" s="5" t="s">
        <v>4</v>
      </c>
    </row>
    <row r="15" spans="1:9" x14ac:dyDescent="0.25">
      <c r="B15" s="10" t="s">
        <v>22</v>
      </c>
      <c r="C15" s="11"/>
      <c r="D15" s="12"/>
      <c r="F15" s="6" t="s">
        <v>5</v>
      </c>
    </row>
    <row r="16" spans="1:9" x14ac:dyDescent="0.25">
      <c r="B16" s="10" t="s">
        <v>23</v>
      </c>
      <c r="C16" s="11"/>
      <c r="D16" s="12"/>
      <c r="F16" t="s">
        <v>6</v>
      </c>
    </row>
    <row r="17" spans="2:6" x14ac:dyDescent="0.25">
      <c r="B17" s="13" t="s">
        <v>24</v>
      </c>
      <c r="C17" s="14"/>
      <c r="D17" s="15"/>
    </row>
    <row r="19" spans="2:6" x14ac:dyDescent="0.25">
      <c r="C19" s="17" t="s">
        <v>25</v>
      </c>
      <c r="D19" s="17" t="s">
        <v>25</v>
      </c>
      <c r="E19" s="17" t="s">
        <v>25</v>
      </c>
      <c r="F19" s="17" t="s">
        <v>25</v>
      </c>
    </row>
    <row r="20" spans="2:6" x14ac:dyDescent="0.25">
      <c r="C20" s="18">
        <f>SUM(LARGE(C$23:C$31,{1,2,3}))</f>
        <v>791</v>
      </c>
      <c r="D20" s="18">
        <f>SUM(LARGE(D$23:D$31,{1,2,3}))</f>
        <v>749</v>
      </c>
      <c r="E20" s="18">
        <f>SUM(LARGE(E$23:E$31,{1,2,3}))</f>
        <v>879</v>
      </c>
      <c r="F20" s="18">
        <f>SUM(LARGE(F$23:F$31,{1,2,3}))</f>
        <v>853</v>
      </c>
    </row>
    <row r="22" spans="2:6" x14ac:dyDescent="0.25">
      <c r="B22" s="16" t="s">
        <v>26</v>
      </c>
      <c r="C22" s="16" t="s">
        <v>27</v>
      </c>
      <c r="D22" s="16" t="s">
        <v>28</v>
      </c>
      <c r="E22" s="16" t="s">
        <v>29</v>
      </c>
      <c r="F22" s="16" t="s">
        <v>30</v>
      </c>
    </row>
    <row r="23" spans="2:6" x14ac:dyDescent="0.25">
      <c r="B23" s="3" t="s">
        <v>31</v>
      </c>
      <c r="C23" s="3">
        <v>219</v>
      </c>
      <c r="D23" s="3">
        <v>243</v>
      </c>
      <c r="E23" s="3">
        <v>163</v>
      </c>
      <c r="F23" s="3">
        <v>156</v>
      </c>
    </row>
    <row r="24" spans="2:6" x14ac:dyDescent="0.25">
      <c r="B24" s="3" t="s">
        <v>32</v>
      </c>
      <c r="C24" s="3">
        <v>235</v>
      </c>
      <c r="D24" s="3">
        <v>268</v>
      </c>
      <c r="E24" s="3">
        <v>209</v>
      </c>
      <c r="F24" s="3">
        <v>285</v>
      </c>
    </row>
    <row r="25" spans="2:6" x14ac:dyDescent="0.25">
      <c r="B25" s="3" t="s">
        <v>33</v>
      </c>
      <c r="C25" s="3">
        <v>207</v>
      </c>
      <c r="D25" s="3">
        <v>238</v>
      </c>
      <c r="E25" s="3">
        <v>174</v>
      </c>
      <c r="F25" s="3">
        <v>292</v>
      </c>
    </row>
    <row r="26" spans="2:6" x14ac:dyDescent="0.25">
      <c r="B26" s="3" t="s">
        <v>34</v>
      </c>
      <c r="C26" s="3">
        <v>183</v>
      </c>
      <c r="D26" s="3">
        <v>236</v>
      </c>
      <c r="E26" s="3">
        <v>195</v>
      </c>
      <c r="F26" s="3">
        <v>276</v>
      </c>
    </row>
    <row r="27" spans="2:6" x14ac:dyDescent="0.25">
      <c r="B27" s="3" t="s">
        <v>35</v>
      </c>
      <c r="C27" s="3">
        <v>278</v>
      </c>
      <c r="D27" s="3">
        <v>194</v>
      </c>
      <c r="E27" s="3">
        <v>284</v>
      </c>
      <c r="F27" s="3">
        <v>230</v>
      </c>
    </row>
    <row r="28" spans="2:6" x14ac:dyDescent="0.25">
      <c r="B28" s="3" t="s">
        <v>36</v>
      </c>
      <c r="C28" s="3">
        <v>160</v>
      </c>
      <c r="D28" s="3">
        <v>195</v>
      </c>
      <c r="E28" s="3">
        <v>296</v>
      </c>
      <c r="F28" s="3">
        <v>257</v>
      </c>
    </row>
    <row r="29" spans="2:6" x14ac:dyDescent="0.25">
      <c r="B29" s="3" t="s">
        <v>37</v>
      </c>
      <c r="C29" s="3">
        <v>268</v>
      </c>
      <c r="D29" s="3">
        <v>173</v>
      </c>
      <c r="E29" s="3">
        <v>207</v>
      </c>
      <c r="F29" s="3">
        <v>249</v>
      </c>
    </row>
    <row r="30" spans="2:6" x14ac:dyDescent="0.25">
      <c r="B30" s="3" t="s">
        <v>38</v>
      </c>
      <c r="C30" s="3">
        <v>245</v>
      </c>
      <c r="D30" s="3">
        <v>221</v>
      </c>
      <c r="E30" s="3">
        <v>179</v>
      </c>
      <c r="F30" s="3">
        <v>223</v>
      </c>
    </row>
    <row r="31" spans="2:6" x14ac:dyDescent="0.25">
      <c r="B31" s="3" t="s">
        <v>39</v>
      </c>
      <c r="C31" s="3">
        <v>233</v>
      </c>
      <c r="D31" s="3">
        <v>168</v>
      </c>
      <c r="E31" s="3">
        <v>299</v>
      </c>
      <c r="F31" s="3">
        <v>213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</sheetPr>
  <dimension ref="A1:I23"/>
  <sheetViews>
    <sheetView topLeftCell="A4" zoomScaleNormal="100" workbookViewId="0">
      <selection activeCell="A24" sqref="A24"/>
    </sheetView>
  </sheetViews>
  <sheetFormatPr defaultRowHeight="15" x14ac:dyDescent="0.25"/>
  <cols>
    <col min="1" max="1" width="16.140625" customWidth="1"/>
    <col min="2" max="2" width="16" customWidth="1"/>
    <col min="3" max="4" width="14.5703125" customWidth="1"/>
    <col min="5" max="5" width="16.5703125" customWidth="1"/>
    <col min="6" max="7" width="14.5703125" customWidth="1"/>
    <col min="8" max="8" width="45" customWidth="1"/>
    <col min="9" max="9" width="17.7109375" customWidth="1"/>
    <col min="10" max="10" width="18.5703125" customWidth="1"/>
    <col min="11" max="11" width="13.42578125" customWidth="1"/>
  </cols>
  <sheetData>
    <row r="1" spans="1:9" x14ac:dyDescent="0.25">
      <c r="A1" s="21" t="s">
        <v>67</v>
      </c>
      <c r="B1" s="8"/>
      <c r="C1" s="8"/>
      <c r="D1" s="8"/>
      <c r="E1" s="8"/>
      <c r="F1" s="8"/>
      <c r="G1" s="8"/>
      <c r="H1" s="8"/>
      <c r="I1" s="9"/>
    </row>
    <row r="2" spans="1:9" x14ac:dyDescent="0.25">
      <c r="A2" s="22" t="s">
        <v>48</v>
      </c>
      <c r="B2" s="11"/>
      <c r="C2" s="11"/>
      <c r="D2" s="11"/>
      <c r="E2" s="11"/>
      <c r="F2" s="11"/>
      <c r="G2" s="11"/>
      <c r="H2" s="11"/>
      <c r="I2" s="12"/>
    </row>
    <row r="3" spans="1:9" x14ac:dyDescent="0.25">
      <c r="A3" s="22" t="s">
        <v>61</v>
      </c>
      <c r="B3" s="11"/>
      <c r="C3" s="11"/>
      <c r="D3" s="11"/>
      <c r="E3" s="11"/>
      <c r="F3" s="11"/>
      <c r="G3" s="11"/>
      <c r="H3" s="11"/>
      <c r="I3" s="12"/>
    </row>
    <row r="4" spans="1:9" x14ac:dyDescent="0.25">
      <c r="A4" s="22" t="s">
        <v>42</v>
      </c>
      <c r="B4" s="11"/>
      <c r="C4" s="11"/>
      <c r="D4" s="11"/>
      <c r="E4" s="11"/>
      <c r="F4" s="11"/>
      <c r="G4" s="11"/>
      <c r="H4" s="11"/>
      <c r="I4" s="12"/>
    </row>
    <row r="5" spans="1:9" x14ac:dyDescent="0.25">
      <c r="A5" s="22" t="s">
        <v>70</v>
      </c>
      <c r="B5" s="11"/>
      <c r="C5" s="11"/>
      <c r="D5" s="11"/>
      <c r="E5" s="11"/>
      <c r="F5" s="11"/>
      <c r="G5" s="11"/>
      <c r="H5" s="11"/>
      <c r="I5" s="12"/>
    </row>
    <row r="6" spans="1:9" x14ac:dyDescent="0.25">
      <c r="A6" s="50" t="s">
        <v>68</v>
      </c>
      <c r="B6" s="39"/>
      <c r="C6" s="39"/>
      <c r="D6" s="39"/>
      <c r="E6" s="39"/>
      <c r="F6" s="39"/>
      <c r="G6" s="39"/>
      <c r="H6" s="39"/>
      <c r="I6" s="40"/>
    </row>
    <row r="7" spans="1:9" x14ac:dyDescent="0.25">
      <c r="A7" s="43" t="s">
        <v>71</v>
      </c>
      <c r="B7" s="41"/>
      <c r="C7" s="41"/>
      <c r="D7" s="41"/>
      <c r="E7" s="41"/>
      <c r="F7" s="41"/>
      <c r="G7" s="41"/>
      <c r="H7" s="41"/>
      <c r="I7" s="42"/>
    </row>
    <row r="8" spans="1:9" x14ac:dyDescent="0.25">
      <c r="A8" s="49" t="s">
        <v>358</v>
      </c>
      <c r="B8" s="41"/>
      <c r="C8" s="41"/>
      <c r="D8" s="41"/>
      <c r="E8" s="41"/>
      <c r="F8" s="41"/>
      <c r="G8" s="41"/>
      <c r="H8" s="41"/>
      <c r="I8" s="42"/>
    </row>
    <row r="9" spans="1:9" x14ac:dyDescent="0.25">
      <c r="A9" s="44" t="s">
        <v>65</v>
      </c>
      <c r="B9" s="41"/>
      <c r="C9" s="41"/>
      <c r="D9" s="41"/>
      <c r="E9" s="41"/>
      <c r="F9" s="41"/>
      <c r="G9" s="41"/>
      <c r="H9" s="41"/>
      <c r="I9" s="42"/>
    </row>
    <row r="10" spans="1:9" x14ac:dyDescent="0.25">
      <c r="A10" s="44" t="s">
        <v>66</v>
      </c>
      <c r="B10" s="41"/>
      <c r="C10" s="41"/>
      <c r="D10" s="41"/>
      <c r="E10" s="41"/>
      <c r="F10" s="41"/>
      <c r="G10" s="41"/>
      <c r="H10" s="41"/>
      <c r="I10" s="42"/>
    </row>
    <row r="11" spans="1:9" x14ac:dyDescent="0.25">
      <c r="A11" s="44" t="s">
        <v>304</v>
      </c>
      <c r="B11" s="41"/>
      <c r="C11" s="41"/>
      <c r="D11" s="41"/>
      <c r="E11" s="41"/>
      <c r="F11" s="41"/>
      <c r="G11" s="41"/>
      <c r="H11" s="41"/>
      <c r="I11" s="42"/>
    </row>
    <row r="12" spans="1:9" x14ac:dyDescent="0.25">
      <c r="A12" s="44" t="s">
        <v>305</v>
      </c>
      <c r="B12" s="41"/>
      <c r="C12" s="41"/>
      <c r="D12" s="41"/>
      <c r="E12" s="41"/>
      <c r="F12" s="41"/>
      <c r="G12" s="41"/>
      <c r="H12" s="41"/>
      <c r="I12" s="42"/>
    </row>
    <row r="13" spans="1:9" x14ac:dyDescent="0.25">
      <c r="A13" s="44" t="s">
        <v>306</v>
      </c>
      <c r="B13" s="41"/>
      <c r="C13" s="41"/>
      <c r="D13" s="41"/>
      <c r="E13" s="41"/>
      <c r="F13" s="41"/>
      <c r="G13" s="41"/>
      <c r="H13" s="41"/>
      <c r="I13" s="42"/>
    </row>
    <row r="14" spans="1:9" x14ac:dyDescent="0.25">
      <c r="A14" s="49" t="s">
        <v>64</v>
      </c>
      <c r="B14" s="41"/>
      <c r="C14" s="41"/>
      <c r="D14" s="41"/>
      <c r="E14" s="41"/>
      <c r="F14" s="41"/>
      <c r="G14" s="41"/>
      <c r="H14" s="41"/>
      <c r="I14" s="42"/>
    </row>
    <row r="15" spans="1:9" x14ac:dyDescent="0.25">
      <c r="A15" s="43" t="s">
        <v>325</v>
      </c>
      <c r="B15" s="41"/>
      <c r="C15" s="41"/>
      <c r="D15" s="41"/>
      <c r="E15" s="41"/>
      <c r="F15" s="41"/>
      <c r="G15" s="41"/>
      <c r="H15" s="41"/>
      <c r="I15" s="42"/>
    </row>
    <row r="16" spans="1:9" x14ac:dyDescent="0.25">
      <c r="A16" s="43" t="s">
        <v>72</v>
      </c>
      <c r="B16" s="41"/>
      <c r="C16" s="41"/>
      <c r="D16" s="41"/>
      <c r="E16" s="41"/>
      <c r="F16" s="41"/>
      <c r="G16" s="41"/>
      <c r="H16" s="41"/>
      <c r="I16" s="42"/>
    </row>
    <row r="17" spans="1:9" x14ac:dyDescent="0.25">
      <c r="A17" s="48" t="s">
        <v>73</v>
      </c>
      <c r="B17" s="41"/>
      <c r="C17" s="41"/>
      <c r="D17" s="41"/>
      <c r="E17" s="41"/>
      <c r="F17" s="41"/>
      <c r="G17" s="41"/>
      <c r="H17" s="41"/>
      <c r="I17" s="42"/>
    </row>
    <row r="18" spans="1:9" x14ac:dyDescent="0.25">
      <c r="A18" s="43" t="s">
        <v>74</v>
      </c>
      <c r="B18" s="41"/>
      <c r="C18" s="41"/>
      <c r="D18" s="41"/>
      <c r="E18" s="41"/>
      <c r="F18" s="41"/>
      <c r="G18" s="41"/>
      <c r="H18" s="41"/>
      <c r="I18" s="42"/>
    </row>
    <row r="19" spans="1:9" x14ac:dyDescent="0.25">
      <c r="A19" s="43" t="s">
        <v>75</v>
      </c>
      <c r="B19" s="41"/>
      <c r="C19" s="41"/>
      <c r="D19" s="41"/>
      <c r="E19" s="41"/>
      <c r="F19" s="41"/>
      <c r="G19" s="41"/>
      <c r="H19" s="41"/>
      <c r="I19" s="42"/>
    </row>
    <row r="20" spans="1:9" x14ac:dyDescent="0.25">
      <c r="A20" s="45" t="s">
        <v>76</v>
      </c>
      <c r="B20" s="46"/>
      <c r="C20" s="46"/>
      <c r="D20" s="46"/>
      <c r="E20" s="46"/>
      <c r="F20" s="46"/>
      <c r="G20" s="46"/>
      <c r="H20" s="46"/>
      <c r="I20" s="47"/>
    </row>
    <row r="21" spans="1:9" x14ac:dyDescent="0.25">
      <c r="A21" s="21" t="s">
        <v>69</v>
      </c>
      <c r="B21" s="8"/>
      <c r="C21" s="8"/>
      <c r="D21" s="8"/>
      <c r="E21" s="8"/>
      <c r="F21" s="8"/>
      <c r="G21" s="8"/>
      <c r="H21" s="8"/>
      <c r="I21" s="9"/>
    </row>
    <row r="22" spans="1:9" x14ac:dyDescent="0.25">
      <c r="A22" s="22" t="s">
        <v>77</v>
      </c>
      <c r="B22" s="11"/>
      <c r="C22" s="11"/>
      <c r="D22" s="11"/>
      <c r="E22" s="11"/>
      <c r="F22" s="11"/>
      <c r="G22" s="11"/>
      <c r="H22" s="11"/>
      <c r="I22" s="12"/>
    </row>
    <row r="23" spans="1:9" x14ac:dyDescent="0.25">
      <c r="A23" s="23" t="s">
        <v>78</v>
      </c>
      <c r="B23" s="14"/>
      <c r="C23" s="14"/>
      <c r="D23" s="14"/>
      <c r="E23" s="14"/>
      <c r="F23" s="14"/>
      <c r="G23" s="14"/>
      <c r="H23" s="14"/>
      <c r="I23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Y410"/>
  <sheetViews>
    <sheetView topLeftCell="A155" zoomScale="85" zoomScaleNormal="85" workbookViewId="0">
      <selection activeCell="E235" sqref="E235"/>
    </sheetView>
  </sheetViews>
  <sheetFormatPr defaultRowHeight="15" x14ac:dyDescent="0.25"/>
  <cols>
    <col min="1" max="1" width="16.7109375" customWidth="1"/>
    <col min="2" max="2" width="16" customWidth="1"/>
    <col min="3" max="3" width="19.42578125" customWidth="1"/>
    <col min="4" max="4" width="14.5703125" customWidth="1"/>
    <col min="5" max="5" width="13.140625" customWidth="1"/>
    <col min="6" max="6" width="14.140625" customWidth="1"/>
    <col min="7" max="8" width="13.140625" customWidth="1"/>
    <col min="9" max="9" width="17.140625" customWidth="1"/>
  </cols>
  <sheetData>
    <row r="1" spans="1:25" x14ac:dyDescent="0.25">
      <c r="A1" s="7" t="s">
        <v>316</v>
      </c>
      <c r="B1" s="8"/>
      <c r="C1" s="8"/>
      <c r="D1" s="8"/>
      <c r="E1" s="9"/>
      <c r="G1" t="s">
        <v>298</v>
      </c>
    </row>
    <row r="2" spans="1:25" x14ac:dyDescent="0.25">
      <c r="A2" s="27" t="s">
        <v>63</v>
      </c>
      <c r="B2" s="14"/>
      <c r="C2" s="14"/>
      <c r="D2" s="14"/>
      <c r="E2" s="15"/>
      <c r="G2" t="s">
        <v>299</v>
      </c>
    </row>
    <row r="3" spans="1:25" x14ac:dyDescent="0.25">
      <c r="A3" s="1" t="s">
        <v>43</v>
      </c>
      <c r="B3" s="28" t="s">
        <v>44</v>
      </c>
      <c r="C3" s="28" t="s">
        <v>45</v>
      </c>
      <c r="D3" s="28" t="s">
        <v>46</v>
      </c>
      <c r="E3" s="28" t="s">
        <v>97</v>
      </c>
      <c r="G3" s="100" t="s">
        <v>300</v>
      </c>
    </row>
    <row r="4" spans="1:25" x14ac:dyDescent="0.25">
      <c r="A4" s="1" t="s">
        <v>49</v>
      </c>
      <c r="B4" s="29">
        <v>65487</v>
      </c>
      <c r="C4" s="29">
        <v>75894</v>
      </c>
      <c r="D4" s="29">
        <v>65007</v>
      </c>
      <c r="E4" s="29">
        <f t="shared" ref="E4:E9" si="0">SUM(B4:D4)</f>
        <v>206388</v>
      </c>
      <c r="G4" t="s">
        <v>301</v>
      </c>
    </row>
    <row r="5" spans="1:25" x14ac:dyDescent="0.25">
      <c r="A5" s="30" t="s">
        <v>41</v>
      </c>
      <c r="B5" s="31">
        <f t="shared" ref="B5:D8" si="1">ROUND(B$4*$B13,2)</f>
        <v>30422.63</v>
      </c>
      <c r="C5" s="31">
        <f t="shared" si="1"/>
        <v>35257.300000000003</v>
      </c>
      <c r="D5" s="31">
        <f t="shared" si="1"/>
        <v>30199.64</v>
      </c>
      <c r="E5" s="31">
        <f t="shared" si="0"/>
        <v>95879.57</v>
      </c>
      <c r="G5" s="100" t="s">
        <v>302</v>
      </c>
    </row>
    <row r="6" spans="1:25" x14ac:dyDescent="0.25">
      <c r="A6" s="30" t="s">
        <v>50</v>
      </c>
      <c r="B6" s="31">
        <f t="shared" si="1"/>
        <v>12756.17</v>
      </c>
      <c r="C6" s="31">
        <f t="shared" si="1"/>
        <v>14783.34</v>
      </c>
      <c r="D6" s="31">
        <f t="shared" si="1"/>
        <v>12662.67</v>
      </c>
      <c r="E6" s="31">
        <f t="shared" si="0"/>
        <v>40202.18</v>
      </c>
      <c r="G6" t="s">
        <v>42</v>
      </c>
    </row>
    <row r="7" spans="1:25" x14ac:dyDescent="0.25">
      <c r="A7" s="30" t="s">
        <v>51</v>
      </c>
      <c r="B7" s="31">
        <f t="shared" si="1"/>
        <v>10110.370000000001</v>
      </c>
      <c r="C7" s="31">
        <f t="shared" si="1"/>
        <v>11717.08</v>
      </c>
      <c r="D7" s="31">
        <f t="shared" si="1"/>
        <v>10036.27</v>
      </c>
      <c r="E7" s="31">
        <f t="shared" si="0"/>
        <v>31863.72</v>
      </c>
      <c r="G7" t="s">
        <v>323</v>
      </c>
    </row>
    <row r="8" spans="1:25" x14ac:dyDescent="0.25">
      <c r="A8" s="30" t="s">
        <v>52</v>
      </c>
      <c r="B8" s="31">
        <f t="shared" si="1"/>
        <v>2643.8</v>
      </c>
      <c r="C8" s="31">
        <f t="shared" si="1"/>
        <v>3063.95</v>
      </c>
      <c r="D8" s="31">
        <f t="shared" si="1"/>
        <v>2624.42</v>
      </c>
      <c r="E8" s="31">
        <f t="shared" si="0"/>
        <v>8332.17</v>
      </c>
      <c r="H8" t="s">
        <v>324</v>
      </c>
    </row>
    <row r="9" spans="1:25" ht="15.75" thickBot="1" x14ac:dyDescent="0.3">
      <c r="A9" s="1" t="s">
        <v>53</v>
      </c>
      <c r="B9" s="32">
        <f>SUM(B5:B8)</f>
        <v>55932.970000000008</v>
      </c>
      <c r="C9" s="33">
        <f>SUM(C5:C8)</f>
        <v>64821.67</v>
      </c>
      <c r="D9" s="33">
        <f>SUM(D5:D8)</f>
        <v>55523</v>
      </c>
      <c r="E9" s="33">
        <f t="shared" si="0"/>
        <v>176277.64</v>
      </c>
      <c r="H9" s="105" t="s">
        <v>326</v>
      </c>
      <c r="Y9" t="s">
        <v>320</v>
      </c>
    </row>
    <row r="10" spans="1:25" ht="15.75" thickBot="1" x14ac:dyDescent="0.3">
      <c r="A10" s="1" t="s">
        <v>54</v>
      </c>
      <c r="B10" s="37">
        <f>B4-B9</f>
        <v>9554.0299999999916</v>
      </c>
      <c r="C10" s="38">
        <f>C4-C9</f>
        <v>11072.330000000002</v>
      </c>
      <c r="D10" s="38">
        <f>D4-D9</f>
        <v>9484</v>
      </c>
      <c r="E10" s="38">
        <f>E4-E9</f>
        <v>30110.359999999986</v>
      </c>
      <c r="H10" s="105" t="s">
        <v>327</v>
      </c>
      <c r="Y10" s="103" t="s">
        <v>65</v>
      </c>
    </row>
    <row r="11" spans="1:25" ht="15.75" thickTop="1" x14ac:dyDescent="0.25">
      <c r="H11" s="99" t="s">
        <v>304</v>
      </c>
      <c r="Y11" s="103" t="s">
        <v>66</v>
      </c>
    </row>
    <row r="12" spans="1:25" x14ac:dyDescent="0.25">
      <c r="A12" s="34" t="s">
        <v>56</v>
      </c>
      <c r="B12" s="35"/>
      <c r="H12" s="99" t="s">
        <v>305</v>
      </c>
      <c r="Y12" s="102" t="s">
        <v>304</v>
      </c>
    </row>
    <row r="13" spans="1:25" x14ac:dyDescent="0.25">
      <c r="A13" s="3" t="s">
        <v>41</v>
      </c>
      <c r="B13" s="36">
        <v>0.46455983312744287</v>
      </c>
      <c r="H13" s="99" t="s">
        <v>306</v>
      </c>
      <c r="Y13" s="102" t="s">
        <v>305</v>
      </c>
    </row>
    <row r="14" spans="1:25" x14ac:dyDescent="0.25">
      <c r="A14" s="3" t="s">
        <v>50</v>
      </c>
      <c r="B14" s="36">
        <v>0.19478928289353775</v>
      </c>
      <c r="H14" t="s">
        <v>328</v>
      </c>
      <c r="Y14" s="102" t="s">
        <v>306</v>
      </c>
    </row>
    <row r="15" spans="1:25" x14ac:dyDescent="0.25">
      <c r="A15" s="3" t="s">
        <v>51</v>
      </c>
      <c r="B15" s="36">
        <v>0.15438749265882257</v>
      </c>
      <c r="Y15" s="6" t="s">
        <v>319</v>
      </c>
    </row>
    <row r="16" spans="1:25" x14ac:dyDescent="0.25">
      <c r="A16" s="3" t="s">
        <v>52</v>
      </c>
      <c r="B16" s="36">
        <v>4.0371412948824396E-2</v>
      </c>
      <c r="Y16" s="102" t="s">
        <v>321</v>
      </c>
    </row>
    <row r="17" spans="1:25" x14ac:dyDescent="0.25">
      <c r="Y17" s="102" t="s">
        <v>322</v>
      </c>
    </row>
    <row r="18" spans="1:25" x14ac:dyDescent="0.25">
      <c r="A18" s="3" t="s">
        <v>94</v>
      </c>
      <c r="B18" s="31">
        <f>B13*B4</f>
        <v>30422.629792016851</v>
      </c>
      <c r="D18" t="s">
        <v>310</v>
      </c>
    </row>
    <row r="20" spans="1:25" x14ac:dyDescent="0.25">
      <c r="A20" s="7" t="s">
        <v>55</v>
      </c>
      <c r="B20" s="8"/>
      <c r="C20" s="8"/>
      <c r="D20" s="8"/>
      <c r="E20" s="8"/>
      <c r="F20" s="9"/>
    </row>
    <row r="21" spans="1:25" x14ac:dyDescent="0.25">
      <c r="A21" s="27" t="s">
        <v>57</v>
      </c>
      <c r="B21" s="14"/>
      <c r="C21" s="14"/>
      <c r="D21" s="14"/>
      <c r="E21" s="14"/>
      <c r="F21" s="15"/>
    </row>
    <row r="22" spans="1:25" x14ac:dyDescent="0.25">
      <c r="A22" s="1" t="s">
        <v>43</v>
      </c>
      <c r="B22" s="28" t="s">
        <v>44</v>
      </c>
      <c r="C22" s="28" t="s">
        <v>45</v>
      </c>
      <c r="D22" s="28" t="s">
        <v>46</v>
      </c>
    </row>
    <row r="23" spans="1:25" x14ac:dyDescent="0.25">
      <c r="A23" s="1" t="s">
        <v>49</v>
      </c>
      <c r="B23" s="29">
        <v>65487</v>
      </c>
      <c r="C23" s="29">
        <v>75894</v>
      </c>
      <c r="D23" s="29">
        <v>65007</v>
      </c>
      <c r="F23" t="s">
        <v>329</v>
      </c>
    </row>
    <row r="24" spans="1:25" x14ac:dyDescent="0.25">
      <c r="A24" s="1" t="s">
        <v>53</v>
      </c>
      <c r="B24" s="31">
        <f t="array" ref="B24">SUM($B$13:$B$16*B4)</f>
        <v>55932.972012393933</v>
      </c>
      <c r="C24" s="31">
        <f t="array" ref="C24">SUM($B$13:$B$16*C4)</f>
        <v>64821.674193483057</v>
      </c>
      <c r="D24" s="31">
        <f t="array" ref="D24">SUM($B$13:$B$16*D4)</f>
        <v>55523.000162012191</v>
      </c>
      <c r="F24" t="s">
        <v>95</v>
      </c>
      <c r="N24" t="str">
        <f ca="1">IF(_xlfn.ISFORMULA(B24),_xlfn.FORMULATEXT(B24),"")</f>
        <v>{=SUM($B$13:$B$16*B4)}</v>
      </c>
    </row>
    <row r="25" spans="1:25" x14ac:dyDescent="0.25">
      <c r="A25" s="1" t="s">
        <v>53</v>
      </c>
      <c r="B25" s="31">
        <f>SUMPRODUCT($B$13:$B$16*B4)</f>
        <v>55932.972012393933</v>
      </c>
      <c r="C25" s="31">
        <f t="shared" ref="C25:D25" si="2">SUMPRODUCT($B$13:$B$16*C4)</f>
        <v>64821.674193483057</v>
      </c>
      <c r="D25" s="31">
        <f t="shared" si="2"/>
        <v>55523.000162012191</v>
      </c>
      <c r="F25" t="s">
        <v>119</v>
      </c>
      <c r="N25" t="str">
        <f ca="1">IF(_xlfn.ISFORMULA(B25),_xlfn.FORMULATEXT(B25),"")</f>
        <v>=SUMPRODUCT($B$13:$B$16*B4)</v>
      </c>
    </row>
    <row r="26" spans="1:25" x14ac:dyDescent="0.25">
      <c r="F26" t="s">
        <v>79</v>
      </c>
    </row>
    <row r="27" spans="1:25" x14ac:dyDescent="0.25">
      <c r="A27" s="7" t="s">
        <v>58</v>
      </c>
      <c r="B27" s="8"/>
      <c r="C27" s="8"/>
      <c r="D27" s="9"/>
      <c r="F27" t="s">
        <v>111</v>
      </c>
    </row>
    <row r="28" spans="1:25" x14ac:dyDescent="0.25">
      <c r="A28" s="27" t="s">
        <v>96</v>
      </c>
      <c r="B28" s="14"/>
      <c r="C28" s="14"/>
      <c r="D28" s="15"/>
      <c r="F28" t="s">
        <v>110</v>
      </c>
    </row>
    <row r="29" spans="1:25" x14ac:dyDescent="0.25">
      <c r="F29" s="4" t="s">
        <v>59</v>
      </c>
    </row>
    <row r="30" spans="1:25" x14ac:dyDescent="0.25">
      <c r="A30" s="3" t="s">
        <v>53</v>
      </c>
      <c r="B30" s="31">
        <f>SUMPRODUCT(ROUND($B$24:$D$24,2))</f>
        <v>176277.64</v>
      </c>
      <c r="D30" t="s">
        <v>121</v>
      </c>
      <c r="F30" t="s">
        <v>62</v>
      </c>
    </row>
    <row r="31" spans="1:25" x14ac:dyDescent="0.25">
      <c r="F31" t="s">
        <v>60</v>
      </c>
    </row>
    <row r="32" spans="1:25" x14ac:dyDescent="0.25">
      <c r="A32" s="7" t="s">
        <v>80</v>
      </c>
      <c r="B32" s="8"/>
      <c r="C32" s="8"/>
      <c r="D32" s="9"/>
    </row>
    <row r="33" spans="1:7" x14ac:dyDescent="0.25">
      <c r="A33" s="27" t="s">
        <v>98</v>
      </c>
      <c r="B33" s="14"/>
      <c r="C33" s="14"/>
      <c r="D33" s="15"/>
    </row>
    <row r="35" spans="1:7" x14ac:dyDescent="0.25">
      <c r="A35" s="3" t="s">
        <v>54</v>
      </c>
      <c r="B35" s="31">
        <f>ROUND(SUM($B$23:$D$23),2)-SUMPRODUCT(ROUND($B$24:$D$24,2))</f>
        <v>30110.359999999986</v>
      </c>
      <c r="D35" t="s">
        <v>119</v>
      </c>
    </row>
    <row r="37" spans="1:7" x14ac:dyDescent="0.25">
      <c r="A37" s="7" t="s">
        <v>330</v>
      </c>
      <c r="B37" s="8"/>
      <c r="C37" s="8"/>
      <c r="D37" s="8"/>
      <c r="E37" s="8"/>
      <c r="F37" s="9"/>
    </row>
    <row r="38" spans="1:7" x14ac:dyDescent="0.25">
      <c r="A38" s="27" t="s">
        <v>309</v>
      </c>
      <c r="B38" s="14"/>
      <c r="C38" s="14"/>
      <c r="D38" s="14"/>
      <c r="E38" s="14"/>
      <c r="F38" s="15"/>
    </row>
    <row r="40" spans="1:7" x14ac:dyDescent="0.25">
      <c r="A40" s="1" t="s">
        <v>312</v>
      </c>
      <c r="B40" s="104">
        <v>1</v>
      </c>
      <c r="C40" s="104">
        <v>5</v>
      </c>
      <c r="D40" s="104">
        <v>10</v>
      </c>
      <c r="E40" s="104">
        <v>20</v>
      </c>
      <c r="F40" s="104">
        <v>100</v>
      </c>
    </row>
    <row r="41" spans="1:7" x14ac:dyDescent="0.25">
      <c r="A41" s="1" t="s">
        <v>308</v>
      </c>
      <c r="B41" s="3">
        <v>16</v>
      </c>
      <c r="C41" s="3">
        <v>5</v>
      </c>
      <c r="D41" s="3">
        <v>22</v>
      </c>
      <c r="E41" s="3">
        <v>43</v>
      </c>
      <c r="F41" s="3">
        <v>5</v>
      </c>
    </row>
    <row r="43" spans="1:7" x14ac:dyDescent="0.25">
      <c r="A43" s="1" t="s">
        <v>317</v>
      </c>
      <c r="B43" s="106">
        <f>B40*B41+C40*C41+D40*D41+E40*E41+F40*F41</f>
        <v>1621</v>
      </c>
      <c r="D43" t="str">
        <f t="shared" ref="D43:D46" ca="1" si="3">IF(_xlfn.ISFORMULA(B43),_xlfn.FORMULATEXT(B43),"")</f>
        <v>=B40*B41+C40*C41+D40*D41+E40*E41+F40*F41</v>
      </c>
    </row>
    <row r="44" spans="1:7" x14ac:dyDescent="0.25">
      <c r="A44" s="1" t="s">
        <v>317</v>
      </c>
      <c r="B44" s="18">
        <f>SUMPRODUCT($B$40:$F$40,$B$41:$F$41)</f>
        <v>1621</v>
      </c>
      <c r="D44" t="str">
        <f t="shared" ca="1" si="3"/>
        <v>=SUMPRODUCT($B$40:$F$40,$B$41:$F$41)</v>
      </c>
      <c r="G44" t="s">
        <v>318</v>
      </c>
    </row>
    <row r="45" spans="1:7" x14ac:dyDescent="0.25">
      <c r="A45" s="1" t="s">
        <v>317</v>
      </c>
      <c r="B45" s="18" t="e">
        <f>SUMPRODUCT($B$40:$E$40,B41:F41)</f>
        <v>#VALUE!</v>
      </c>
      <c r="D45" t="str">
        <f t="shared" ca="1" si="3"/>
        <v>=SUMPRODUCT($B$40:$E$40,B41:F41)</v>
      </c>
    </row>
    <row r="46" spans="1:7" x14ac:dyDescent="0.25">
      <c r="A46" s="1" t="s">
        <v>317</v>
      </c>
      <c r="B46" s="18"/>
      <c r="D46" t="str">
        <f t="shared" ca="1" si="3"/>
        <v/>
      </c>
    </row>
    <row r="48" spans="1:7" x14ac:dyDescent="0.25">
      <c r="A48" s="7" t="s">
        <v>331</v>
      </c>
      <c r="B48" s="8"/>
      <c r="C48" s="8"/>
      <c r="D48" s="8"/>
      <c r="E48" s="8"/>
      <c r="F48" s="9"/>
    </row>
    <row r="49" spans="1:6" x14ac:dyDescent="0.25">
      <c r="A49" s="27" t="s">
        <v>93</v>
      </c>
      <c r="B49" s="14"/>
      <c r="C49" s="14"/>
      <c r="D49" s="14"/>
      <c r="E49" s="14"/>
      <c r="F49" s="15"/>
    </row>
    <row r="51" spans="1:6" x14ac:dyDescent="0.25">
      <c r="A51" s="1" t="s">
        <v>91</v>
      </c>
      <c r="C51" s="1" t="s">
        <v>92</v>
      </c>
      <c r="E51" t="s">
        <v>311</v>
      </c>
    </row>
    <row r="52" spans="1:6" x14ac:dyDescent="0.25">
      <c r="A52" s="31">
        <f>SUMPRODUCT(LARGE($A$55:$A$63,{1,2,3}))</f>
        <v>3357</v>
      </c>
      <c r="C52" s="52">
        <f>SUMPRODUCT(SMALL($C$55:$C$63,{1,2,3}))</f>
        <v>3.23</v>
      </c>
      <c r="E52" t="s">
        <v>120</v>
      </c>
    </row>
    <row r="54" spans="1:6" x14ac:dyDescent="0.25">
      <c r="A54" s="1" t="s">
        <v>40</v>
      </c>
      <c r="C54" s="1" t="s">
        <v>114</v>
      </c>
    </row>
    <row r="55" spans="1:6" x14ac:dyDescent="0.25">
      <c r="A55" s="3">
        <v>1102</v>
      </c>
      <c r="C55" s="3">
        <v>1.18</v>
      </c>
    </row>
    <row r="56" spans="1:6" x14ac:dyDescent="0.25">
      <c r="A56" s="3">
        <v>265</v>
      </c>
      <c r="C56" s="3">
        <v>1.1299999999999999</v>
      </c>
    </row>
    <row r="57" spans="1:6" x14ac:dyDescent="0.25">
      <c r="A57" s="3">
        <v>862</v>
      </c>
      <c r="C57" s="3">
        <v>1.1599999999999999</v>
      </c>
    </row>
    <row r="58" spans="1:6" x14ac:dyDescent="0.25">
      <c r="A58" s="3">
        <v>300</v>
      </c>
      <c r="C58" s="3">
        <v>1.28</v>
      </c>
    </row>
    <row r="59" spans="1:6" x14ac:dyDescent="0.25">
      <c r="A59" s="3">
        <v>1161</v>
      </c>
      <c r="C59" s="3">
        <v>1.2</v>
      </c>
    </row>
    <row r="60" spans="1:6" x14ac:dyDescent="0.25">
      <c r="A60" s="3">
        <v>526</v>
      </c>
      <c r="C60" s="3">
        <v>1.06</v>
      </c>
    </row>
    <row r="61" spans="1:6" x14ac:dyDescent="0.25">
      <c r="A61" s="3">
        <v>1094</v>
      </c>
      <c r="C61" s="3">
        <v>1.3</v>
      </c>
    </row>
    <row r="62" spans="1:6" x14ac:dyDescent="0.25">
      <c r="A62" s="3">
        <v>708</v>
      </c>
      <c r="C62" s="3">
        <v>1.04</v>
      </c>
    </row>
    <row r="63" spans="1:6" x14ac:dyDescent="0.25">
      <c r="A63" s="3">
        <v>1094</v>
      </c>
      <c r="C63" s="3">
        <v>1.17</v>
      </c>
    </row>
    <row r="66" spans="1:10" x14ac:dyDescent="0.25">
      <c r="A66" s="7" t="s">
        <v>307</v>
      </c>
      <c r="B66" s="8"/>
      <c r="C66" s="8"/>
      <c r="D66" s="8"/>
      <c r="E66" s="8"/>
      <c r="F66" s="9"/>
    </row>
    <row r="67" spans="1:10" x14ac:dyDescent="0.25">
      <c r="A67" s="27" t="s">
        <v>113</v>
      </c>
      <c r="B67" s="14"/>
      <c r="C67" s="14"/>
      <c r="D67" s="14"/>
      <c r="E67" s="14"/>
      <c r="F67" s="15"/>
    </row>
    <row r="69" spans="1:10" x14ac:dyDescent="0.25">
      <c r="A69" s="1" t="s">
        <v>105</v>
      </c>
      <c r="B69" s="1" t="s">
        <v>40</v>
      </c>
      <c r="E69" s="1" t="s">
        <v>81</v>
      </c>
      <c r="F69" s="1" t="s">
        <v>82</v>
      </c>
      <c r="G69" s="1" t="s">
        <v>83</v>
      </c>
      <c r="H69" s="1" t="s">
        <v>84</v>
      </c>
    </row>
    <row r="70" spans="1:10" x14ac:dyDescent="0.25">
      <c r="A70" s="3" t="s">
        <v>100</v>
      </c>
      <c r="B70" s="3">
        <v>457</v>
      </c>
      <c r="E70" s="3" t="s">
        <v>85</v>
      </c>
      <c r="F70" s="3" t="s">
        <v>88</v>
      </c>
      <c r="G70" s="3" t="s">
        <v>99</v>
      </c>
      <c r="H70" s="3" t="s">
        <v>102</v>
      </c>
    </row>
    <row r="71" spans="1:10" x14ac:dyDescent="0.25">
      <c r="A71" s="3" t="s">
        <v>85</v>
      </c>
      <c r="B71" s="3">
        <v>368</v>
      </c>
      <c r="E71" s="3" t="s">
        <v>86</v>
      </c>
      <c r="F71" s="3" t="s">
        <v>89</v>
      </c>
      <c r="G71" s="3" t="s">
        <v>100</v>
      </c>
      <c r="H71" s="3" t="s">
        <v>103</v>
      </c>
    </row>
    <row r="72" spans="1:10" x14ac:dyDescent="0.25">
      <c r="A72" s="3" t="s">
        <v>88</v>
      </c>
      <c r="B72" s="3">
        <v>725</v>
      </c>
      <c r="E72" s="3" t="s">
        <v>106</v>
      </c>
      <c r="F72" s="3" t="s">
        <v>107</v>
      </c>
      <c r="G72" s="3" t="s">
        <v>109</v>
      </c>
      <c r="H72" s="3" t="s">
        <v>108</v>
      </c>
    </row>
    <row r="73" spans="1:10" x14ac:dyDescent="0.25">
      <c r="A73" s="3" t="s">
        <v>108</v>
      </c>
      <c r="B73" s="3">
        <v>736</v>
      </c>
      <c r="E73" s="3" t="s">
        <v>87</v>
      </c>
      <c r="F73" s="3" t="s">
        <v>90</v>
      </c>
      <c r="G73" s="3" t="s">
        <v>101</v>
      </c>
      <c r="H73" s="3" t="s">
        <v>104</v>
      </c>
    </row>
    <row r="74" spans="1:10" x14ac:dyDescent="0.25">
      <c r="A74" s="3" t="s">
        <v>87</v>
      </c>
      <c r="B74" s="3">
        <v>606</v>
      </c>
    </row>
    <row r="75" spans="1:10" x14ac:dyDescent="0.25">
      <c r="A75" s="3" t="s">
        <v>89</v>
      </c>
      <c r="B75" s="3">
        <v>1418</v>
      </c>
      <c r="D75" s="1" t="s">
        <v>97</v>
      </c>
      <c r="E75" s="18">
        <f>SUMPRODUCT(SUMIFS($B$70:$B$111,$A$70:$A$111,E$70:E$73))</f>
        <v>9608</v>
      </c>
      <c r="F75" s="18">
        <f t="shared" ref="F75:H75" si="4">SUMPRODUCT(SUMIFS($B$70:$B$111,$A$70:$A$111,F$70:F$73))</f>
        <v>13631</v>
      </c>
      <c r="G75" s="18">
        <f t="shared" si="4"/>
        <v>9140</v>
      </c>
      <c r="H75" s="18">
        <f t="shared" si="4"/>
        <v>4524</v>
      </c>
      <c r="J75" t="s">
        <v>119</v>
      </c>
    </row>
    <row r="76" spans="1:10" x14ac:dyDescent="0.25">
      <c r="A76" s="3" t="s">
        <v>109</v>
      </c>
      <c r="B76" s="3">
        <v>1110</v>
      </c>
      <c r="D76" s="1" t="s">
        <v>97</v>
      </c>
      <c r="E76" s="18">
        <f>SUMIFS($B$70:$B$111,$A$70:$A$111,E70)+SUMIFS($B$70:$B$111,$A$70:$A$111,E71)+SUMIFS($B$70:$B$111,$A$70:$A$111,E72)+SUMIFS($B$70:$B$111,$A$70:$A$111,E73)</f>
        <v>9608</v>
      </c>
      <c r="F76" s="18">
        <f>SUMIFS($B$70:$B$111,$A$70:$A$111,F70)+SUMIFS($B$70:$B$111,$A$70:$A$111,F71)+SUMIFS($B$70:$B$111,$A$70:$A$111,F72)+SUMIFS($B$70:$B$111,$A$70:$A$111,F73)</f>
        <v>13631</v>
      </c>
      <c r="G76" s="18">
        <f>SUMIFS($B$70:$B$111,$A$70:$A$111,G70)+SUMIFS($B$70:$B$111,$A$70:$A$111,G71)+SUMIFS($B$70:$B$111,$A$70:$A$111,G72)+SUMIFS($B$70:$B$111,$A$70:$A$111,G73)</f>
        <v>9140</v>
      </c>
      <c r="H76" s="18">
        <f>SUMIFS($B$70:$B$111,$A$70:$A$111,H70)+SUMIFS($B$70:$B$111,$A$70:$A$111,H71)+SUMIFS($B$70:$B$111,$A$70:$A$111,H72)+SUMIFS($B$70:$B$111,$A$70:$A$111,H73)</f>
        <v>4524</v>
      </c>
    </row>
    <row r="77" spans="1:10" x14ac:dyDescent="0.25">
      <c r="A77" s="3" t="s">
        <v>107</v>
      </c>
      <c r="B77" s="3">
        <v>1489</v>
      </c>
    </row>
    <row r="78" spans="1:10" x14ac:dyDescent="0.25">
      <c r="A78" s="3" t="s">
        <v>85</v>
      </c>
      <c r="B78" s="3">
        <v>175</v>
      </c>
      <c r="E78" t="s">
        <v>112</v>
      </c>
    </row>
    <row r="79" spans="1:10" x14ac:dyDescent="0.25">
      <c r="A79" s="3" t="s">
        <v>90</v>
      </c>
      <c r="B79" s="3">
        <v>1354</v>
      </c>
      <c r="E79" t="s">
        <v>230</v>
      </c>
    </row>
    <row r="80" spans="1:10" x14ac:dyDescent="0.25">
      <c r="A80" s="3" t="s">
        <v>101</v>
      </c>
      <c r="B80" s="3">
        <v>132</v>
      </c>
      <c r="E80" t="s">
        <v>313</v>
      </c>
    </row>
    <row r="81" spans="1:2" x14ac:dyDescent="0.25">
      <c r="A81" s="3" t="s">
        <v>88</v>
      </c>
      <c r="B81" s="3">
        <v>449</v>
      </c>
    </row>
    <row r="82" spans="1:2" x14ac:dyDescent="0.25">
      <c r="A82" s="3" t="s">
        <v>104</v>
      </c>
      <c r="B82" s="3">
        <v>1333</v>
      </c>
    </row>
    <row r="83" spans="1:2" x14ac:dyDescent="0.25">
      <c r="A83" s="3" t="s">
        <v>107</v>
      </c>
      <c r="B83" s="3">
        <v>1571</v>
      </c>
    </row>
    <row r="84" spans="1:2" x14ac:dyDescent="0.25">
      <c r="A84" s="3" t="s">
        <v>89</v>
      </c>
      <c r="B84" s="3">
        <v>1553</v>
      </c>
    </row>
    <row r="85" spans="1:2" x14ac:dyDescent="0.25">
      <c r="A85" s="3" t="s">
        <v>87</v>
      </c>
      <c r="B85" s="3">
        <v>1196</v>
      </c>
    </row>
    <row r="86" spans="1:2" x14ac:dyDescent="0.25">
      <c r="A86" s="3" t="s">
        <v>85</v>
      </c>
      <c r="B86" s="3">
        <v>679</v>
      </c>
    </row>
    <row r="87" spans="1:2" x14ac:dyDescent="0.25">
      <c r="A87" s="3" t="s">
        <v>101</v>
      </c>
      <c r="B87" s="3">
        <v>221</v>
      </c>
    </row>
    <row r="88" spans="1:2" x14ac:dyDescent="0.25">
      <c r="A88" s="3" t="s">
        <v>101</v>
      </c>
      <c r="B88" s="3">
        <v>1097</v>
      </c>
    </row>
    <row r="89" spans="1:2" x14ac:dyDescent="0.25">
      <c r="A89" s="3" t="s">
        <v>88</v>
      </c>
      <c r="B89" s="3">
        <v>473</v>
      </c>
    </row>
    <row r="90" spans="1:2" x14ac:dyDescent="0.25">
      <c r="A90" s="3" t="s">
        <v>87</v>
      </c>
      <c r="B90" s="3">
        <v>573</v>
      </c>
    </row>
    <row r="91" spans="1:2" x14ac:dyDescent="0.25">
      <c r="A91" s="3" t="s">
        <v>88</v>
      </c>
      <c r="B91" s="3">
        <v>1160</v>
      </c>
    </row>
    <row r="92" spans="1:2" x14ac:dyDescent="0.25">
      <c r="A92" s="3" t="s">
        <v>85</v>
      </c>
      <c r="B92" s="3">
        <v>1268</v>
      </c>
    </row>
    <row r="93" spans="1:2" x14ac:dyDescent="0.25">
      <c r="A93" s="3" t="s">
        <v>107</v>
      </c>
      <c r="B93" s="3">
        <v>1635</v>
      </c>
    </row>
    <row r="94" spans="1:2" x14ac:dyDescent="0.25">
      <c r="A94" s="3" t="s">
        <v>108</v>
      </c>
      <c r="B94" s="3">
        <v>152</v>
      </c>
    </row>
    <row r="95" spans="1:2" x14ac:dyDescent="0.25">
      <c r="A95" s="3" t="s">
        <v>106</v>
      </c>
      <c r="B95" s="3">
        <v>603</v>
      </c>
    </row>
    <row r="96" spans="1:2" x14ac:dyDescent="0.25">
      <c r="A96" s="3" t="s">
        <v>102</v>
      </c>
      <c r="B96" s="3">
        <v>458</v>
      </c>
    </row>
    <row r="97" spans="1:2" x14ac:dyDescent="0.25">
      <c r="A97" s="3" t="s">
        <v>86</v>
      </c>
      <c r="B97" s="3">
        <v>741</v>
      </c>
    </row>
    <row r="98" spans="1:2" x14ac:dyDescent="0.25">
      <c r="A98" s="3" t="s">
        <v>99</v>
      </c>
      <c r="B98" s="3">
        <v>486</v>
      </c>
    </row>
    <row r="99" spans="1:2" x14ac:dyDescent="0.25">
      <c r="A99" s="3" t="s">
        <v>87</v>
      </c>
      <c r="B99" s="3">
        <v>1227</v>
      </c>
    </row>
    <row r="100" spans="1:2" x14ac:dyDescent="0.25">
      <c r="A100" s="3" t="s">
        <v>106</v>
      </c>
      <c r="B100" s="3">
        <v>981</v>
      </c>
    </row>
    <row r="101" spans="1:2" x14ac:dyDescent="0.25">
      <c r="A101" s="3" t="s">
        <v>99</v>
      </c>
      <c r="B101" s="3">
        <v>798</v>
      </c>
    </row>
    <row r="102" spans="1:2" x14ac:dyDescent="0.25">
      <c r="A102" s="3" t="s">
        <v>86</v>
      </c>
      <c r="B102" s="3">
        <v>1191</v>
      </c>
    </row>
    <row r="103" spans="1:2" x14ac:dyDescent="0.25">
      <c r="A103" s="3" t="s">
        <v>88</v>
      </c>
      <c r="B103" s="3">
        <v>363</v>
      </c>
    </row>
    <row r="104" spans="1:2" x14ac:dyDescent="0.25">
      <c r="A104" s="3" t="s">
        <v>109</v>
      </c>
      <c r="B104" s="3">
        <v>1332</v>
      </c>
    </row>
    <row r="105" spans="1:2" x14ac:dyDescent="0.25">
      <c r="A105" s="3" t="s">
        <v>104</v>
      </c>
      <c r="B105" s="3">
        <v>1289</v>
      </c>
    </row>
    <row r="106" spans="1:2" x14ac:dyDescent="0.25">
      <c r="A106" s="3" t="s">
        <v>99</v>
      </c>
      <c r="B106" s="3">
        <v>1625</v>
      </c>
    </row>
    <row r="107" spans="1:2" x14ac:dyDescent="0.25">
      <c r="A107" s="3" t="s">
        <v>101</v>
      </c>
      <c r="B107" s="3">
        <v>1261</v>
      </c>
    </row>
    <row r="108" spans="1:2" x14ac:dyDescent="0.25">
      <c r="A108" s="3" t="s">
        <v>104</v>
      </c>
      <c r="B108" s="3">
        <v>556</v>
      </c>
    </row>
    <row r="109" spans="1:2" x14ac:dyDescent="0.25">
      <c r="A109" s="3" t="s">
        <v>107</v>
      </c>
      <c r="B109" s="3">
        <v>1441</v>
      </c>
    </row>
    <row r="110" spans="1:2" x14ac:dyDescent="0.25">
      <c r="A110" s="3" t="s">
        <v>99</v>
      </c>
      <c r="B110" s="3">
        <v>337</v>
      </c>
    </row>
    <row r="111" spans="1:2" x14ac:dyDescent="0.25">
      <c r="A111" s="3" t="s">
        <v>99</v>
      </c>
      <c r="B111" s="3">
        <v>284</v>
      </c>
    </row>
    <row r="114" spans="1:12" x14ac:dyDescent="0.25">
      <c r="A114" s="7" t="s">
        <v>333</v>
      </c>
      <c r="B114" s="8"/>
      <c r="C114" s="8"/>
      <c r="D114" s="8"/>
      <c r="E114" s="8"/>
      <c r="F114" s="9"/>
    </row>
    <row r="115" spans="1:12" x14ac:dyDescent="0.25">
      <c r="A115" s="27" t="s">
        <v>228</v>
      </c>
      <c r="B115" s="14"/>
      <c r="C115" s="14"/>
      <c r="D115" s="14"/>
      <c r="E115" s="14"/>
      <c r="F115" s="15"/>
    </row>
    <row r="117" spans="1:12" x14ac:dyDescent="0.25">
      <c r="A117" s="77" t="s">
        <v>147</v>
      </c>
      <c r="E117" s="77" t="s">
        <v>148</v>
      </c>
    </row>
    <row r="118" spans="1:12" x14ac:dyDescent="0.25">
      <c r="E118" t="s">
        <v>149</v>
      </c>
    </row>
    <row r="119" spans="1:12" x14ac:dyDescent="0.25">
      <c r="A119" s="1" t="s">
        <v>150</v>
      </c>
      <c r="B119" s="1" t="s">
        <v>151</v>
      </c>
      <c r="C119" s="1" t="s">
        <v>152</v>
      </c>
      <c r="E119" s="1" t="s">
        <v>153</v>
      </c>
      <c r="F119" s="1" t="s">
        <v>154</v>
      </c>
      <c r="G119" s="1" t="s">
        <v>155</v>
      </c>
      <c r="H119" s="1" t="s">
        <v>156</v>
      </c>
      <c r="I119" s="1" t="s">
        <v>157</v>
      </c>
      <c r="J119" s="1" t="s">
        <v>158</v>
      </c>
      <c r="K119" s="1" t="s">
        <v>159</v>
      </c>
      <c r="L119" s="1" t="s">
        <v>160</v>
      </c>
    </row>
    <row r="120" spans="1:12" x14ac:dyDescent="0.25">
      <c r="A120" s="3">
        <v>1</v>
      </c>
      <c r="B120" s="3" t="s">
        <v>161</v>
      </c>
      <c r="C120" s="88" t="str">
        <f>A120&amp;B120</f>
        <v>1a</v>
      </c>
      <c r="E120" s="3" t="s">
        <v>163</v>
      </c>
      <c r="F120" s="3" t="s">
        <v>164</v>
      </c>
      <c r="G120" s="3" t="s">
        <v>165</v>
      </c>
      <c r="H120" s="3" t="s">
        <v>166</v>
      </c>
      <c r="I120" s="3" t="s">
        <v>167</v>
      </c>
      <c r="J120" s="3" t="s">
        <v>168</v>
      </c>
      <c r="K120" s="3" t="s">
        <v>169</v>
      </c>
      <c r="L120" s="3" t="s">
        <v>170</v>
      </c>
    </row>
    <row r="121" spans="1:12" x14ac:dyDescent="0.25">
      <c r="A121" s="3">
        <v>2</v>
      </c>
      <c r="B121" s="3" t="s">
        <v>161</v>
      </c>
      <c r="C121" s="88" t="str">
        <f t="shared" ref="C121:C151" si="5">A121&amp;B121</f>
        <v>2a</v>
      </c>
      <c r="E121" s="3" t="s">
        <v>172</v>
      </c>
      <c r="F121" s="3" t="s">
        <v>173</v>
      </c>
      <c r="G121" s="3" t="s">
        <v>174</v>
      </c>
      <c r="H121" s="3" t="s">
        <v>175</v>
      </c>
      <c r="I121" s="3" t="s">
        <v>176</v>
      </c>
      <c r="J121" s="3" t="s">
        <v>177</v>
      </c>
      <c r="K121" s="3" t="s">
        <v>178</v>
      </c>
      <c r="L121" s="3" t="s">
        <v>179</v>
      </c>
    </row>
    <row r="122" spans="1:12" x14ac:dyDescent="0.25">
      <c r="A122" s="3">
        <v>3</v>
      </c>
      <c r="B122" s="3" t="s">
        <v>180</v>
      </c>
      <c r="C122" s="88" t="str">
        <f t="shared" si="5"/>
        <v>3b</v>
      </c>
      <c r="E122" s="3" t="s">
        <v>182</v>
      </c>
      <c r="F122" s="3" t="s">
        <v>183</v>
      </c>
      <c r="G122" s="3" t="s">
        <v>184</v>
      </c>
      <c r="H122" s="3" t="s">
        <v>185</v>
      </c>
      <c r="I122" s="3" t="s">
        <v>186</v>
      </c>
      <c r="J122" s="3" t="s">
        <v>187</v>
      </c>
      <c r="K122" s="3" t="s">
        <v>188</v>
      </c>
      <c r="L122" s="3" t="s">
        <v>189</v>
      </c>
    </row>
    <row r="123" spans="1:12" x14ac:dyDescent="0.25">
      <c r="A123" s="3">
        <v>4</v>
      </c>
      <c r="B123" s="3" t="s">
        <v>161</v>
      </c>
      <c r="C123" s="88" t="str">
        <f t="shared" si="5"/>
        <v>4a</v>
      </c>
      <c r="E123" s="3" t="s">
        <v>191</v>
      </c>
      <c r="F123" s="3" t="s">
        <v>192</v>
      </c>
      <c r="G123" s="3" t="s">
        <v>193</v>
      </c>
      <c r="H123" s="3" t="s">
        <v>194</v>
      </c>
      <c r="I123" s="3" t="s">
        <v>195</v>
      </c>
      <c r="J123" s="3" t="s">
        <v>196</v>
      </c>
      <c r="K123" s="3" t="s">
        <v>197</v>
      </c>
      <c r="L123" s="3" t="s">
        <v>198</v>
      </c>
    </row>
    <row r="124" spans="1:12" x14ac:dyDescent="0.25">
      <c r="A124" s="3">
        <v>5</v>
      </c>
      <c r="B124" s="3" t="s">
        <v>161</v>
      </c>
      <c r="C124" s="88" t="str">
        <f t="shared" si="5"/>
        <v>5a</v>
      </c>
      <c r="E124" s="3" t="s">
        <v>200</v>
      </c>
      <c r="F124" s="3" t="s">
        <v>201</v>
      </c>
      <c r="G124" s="3" t="s">
        <v>202</v>
      </c>
      <c r="H124" s="3" t="s">
        <v>190</v>
      </c>
      <c r="I124" s="3" t="s">
        <v>162</v>
      </c>
      <c r="J124" s="3" t="s">
        <v>203</v>
      </c>
      <c r="K124" s="3" t="s">
        <v>204</v>
      </c>
      <c r="L124" s="3" t="s">
        <v>205</v>
      </c>
    </row>
    <row r="125" spans="1:12" x14ac:dyDescent="0.25">
      <c r="A125" s="3">
        <v>6</v>
      </c>
      <c r="B125" s="3" t="s">
        <v>180</v>
      </c>
      <c r="C125" s="88" t="str">
        <f t="shared" si="5"/>
        <v>6b</v>
      </c>
      <c r="E125" s="3" t="s">
        <v>207</v>
      </c>
      <c r="F125" s="3" t="s">
        <v>208</v>
      </c>
      <c r="G125" s="3" t="s">
        <v>171</v>
      </c>
      <c r="H125" s="3" t="s">
        <v>209</v>
      </c>
      <c r="I125" s="3" t="s">
        <v>210</v>
      </c>
      <c r="J125" s="3" t="s">
        <v>211</v>
      </c>
      <c r="K125" s="3" t="s">
        <v>212</v>
      </c>
      <c r="L125" s="3" t="s">
        <v>213</v>
      </c>
    </row>
    <row r="126" spans="1:12" x14ac:dyDescent="0.25">
      <c r="A126" s="3">
        <v>7</v>
      </c>
      <c r="B126" s="3" t="s">
        <v>161</v>
      </c>
      <c r="C126" s="88" t="str">
        <f t="shared" si="5"/>
        <v>7a</v>
      </c>
      <c r="E126" s="3" t="s">
        <v>214</v>
      </c>
      <c r="F126" s="3" t="s">
        <v>181</v>
      </c>
      <c r="G126" s="3" t="s">
        <v>215</v>
      </c>
      <c r="H126" s="3" t="s">
        <v>216</v>
      </c>
      <c r="I126" s="3" t="s">
        <v>217</v>
      </c>
      <c r="J126" s="3" t="s">
        <v>218</v>
      </c>
      <c r="K126" s="3" t="s">
        <v>219</v>
      </c>
      <c r="L126" s="3" t="s">
        <v>220</v>
      </c>
    </row>
    <row r="127" spans="1:12" x14ac:dyDescent="0.25">
      <c r="A127" s="3">
        <v>8</v>
      </c>
      <c r="B127" s="3" t="s">
        <v>161</v>
      </c>
      <c r="C127" s="88" t="str">
        <f t="shared" si="5"/>
        <v>8a</v>
      </c>
      <c r="E127" s="3" t="s">
        <v>206</v>
      </c>
      <c r="F127" s="3" t="s">
        <v>221</v>
      </c>
      <c r="G127" s="3" t="s">
        <v>222</v>
      </c>
      <c r="H127" s="3" t="s">
        <v>223</v>
      </c>
      <c r="I127" s="3" t="s">
        <v>224</v>
      </c>
      <c r="J127" s="3" t="s">
        <v>225</v>
      </c>
      <c r="K127" s="3" t="s">
        <v>226</v>
      </c>
      <c r="L127" s="3" t="s">
        <v>199</v>
      </c>
    </row>
    <row r="128" spans="1:12" x14ac:dyDescent="0.25">
      <c r="A128" s="3">
        <v>9</v>
      </c>
      <c r="B128" s="3" t="s">
        <v>180</v>
      </c>
      <c r="C128" s="88" t="str">
        <f t="shared" si="5"/>
        <v>9b</v>
      </c>
    </row>
    <row r="129" spans="1:14" x14ac:dyDescent="0.25">
      <c r="A129" s="3">
        <v>10</v>
      </c>
      <c r="B129" s="3" t="s">
        <v>180</v>
      </c>
      <c r="C129" s="88" t="str">
        <f t="shared" si="5"/>
        <v>10b</v>
      </c>
      <c r="E129" t="s">
        <v>227</v>
      </c>
    </row>
    <row r="130" spans="1:14" x14ac:dyDescent="0.25">
      <c r="A130" s="3">
        <v>11</v>
      </c>
      <c r="B130" s="3" t="s">
        <v>180</v>
      </c>
      <c r="C130" s="88" t="str">
        <f t="shared" si="5"/>
        <v>11b</v>
      </c>
      <c r="E130" s="1" t="s">
        <v>153</v>
      </c>
      <c r="F130" s="1" t="s">
        <v>154</v>
      </c>
      <c r="G130" s="1" t="s">
        <v>155</v>
      </c>
      <c r="H130" s="1" t="s">
        <v>156</v>
      </c>
      <c r="I130" s="1" t="s">
        <v>157</v>
      </c>
      <c r="J130" s="1" t="s">
        <v>158</v>
      </c>
      <c r="K130" s="1" t="s">
        <v>159</v>
      </c>
      <c r="L130" s="1" t="s">
        <v>160</v>
      </c>
    </row>
    <row r="131" spans="1:14" x14ac:dyDescent="0.25">
      <c r="A131" s="3">
        <v>12</v>
      </c>
      <c r="B131" s="3" t="s">
        <v>161</v>
      </c>
      <c r="C131" s="88" t="str">
        <f t="shared" si="5"/>
        <v>12a</v>
      </c>
      <c r="E131" s="18">
        <f>SUMPRODUCT(COUNTIFS(E$120:E$127,$C$120:$C$151))</f>
        <v>4</v>
      </c>
      <c r="F131" s="18">
        <f t="shared" ref="F131:L131" si="6">SUMPRODUCT(COUNTIFS(F$120:F$127,$C$120:$C$151))</f>
        <v>3</v>
      </c>
      <c r="G131" s="18">
        <f t="shared" si="6"/>
        <v>4</v>
      </c>
      <c r="H131" s="18">
        <f t="shared" si="6"/>
        <v>4</v>
      </c>
      <c r="I131" s="18">
        <f t="shared" si="6"/>
        <v>6</v>
      </c>
      <c r="J131" s="18">
        <f t="shared" si="6"/>
        <v>4</v>
      </c>
      <c r="K131" s="18">
        <f t="shared" si="6"/>
        <v>2</v>
      </c>
      <c r="L131" s="18">
        <f t="shared" si="6"/>
        <v>5</v>
      </c>
      <c r="N131" t="s">
        <v>119</v>
      </c>
    </row>
    <row r="132" spans="1:14" x14ac:dyDescent="0.25">
      <c r="A132" s="3">
        <v>13</v>
      </c>
      <c r="B132" s="3" t="s">
        <v>180</v>
      </c>
      <c r="C132" s="88" t="str">
        <f t="shared" si="5"/>
        <v>13b</v>
      </c>
    </row>
    <row r="133" spans="1:14" x14ac:dyDescent="0.25">
      <c r="A133" s="3">
        <v>14</v>
      </c>
      <c r="B133" s="3" t="s">
        <v>161</v>
      </c>
      <c r="C133" s="88" t="str">
        <f t="shared" si="5"/>
        <v>14a</v>
      </c>
    </row>
    <row r="134" spans="1:14" x14ac:dyDescent="0.25">
      <c r="A134" s="3">
        <v>15</v>
      </c>
      <c r="B134" s="3" t="s">
        <v>161</v>
      </c>
      <c r="C134" s="88" t="str">
        <f t="shared" si="5"/>
        <v>15a</v>
      </c>
      <c r="E134" s="87" t="s">
        <v>334</v>
      </c>
      <c r="F134" s="25"/>
      <c r="G134" s="25"/>
      <c r="H134" s="25"/>
      <c r="I134" s="25"/>
      <c r="J134" s="25"/>
      <c r="K134" s="25"/>
      <c r="L134" s="25"/>
      <c r="M134" s="26"/>
    </row>
    <row r="135" spans="1:14" x14ac:dyDescent="0.25">
      <c r="A135" s="3">
        <v>16</v>
      </c>
      <c r="B135" s="3" t="s">
        <v>161</v>
      </c>
      <c r="C135" s="88" t="str">
        <f t="shared" si="5"/>
        <v>16a</v>
      </c>
      <c r="E135" t="s">
        <v>231</v>
      </c>
    </row>
    <row r="136" spans="1:14" x14ac:dyDescent="0.25">
      <c r="A136" s="3">
        <v>17</v>
      </c>
      <c r="B136" s="3" t="s">
        <v>180</v>
      </c>
      <c r="C136" s="88" t="str">
        <f t="shared" si="5"/>
        <v>17b</v>
      </c>
      <c r="E136" s="18">
        <f>SUMPRODUCT(COUNTIFS(E$120:E$127,$A$120:$A$151&amp;$B$120:$B$151))</f>
        <v>4</v>
      </c>
      <c r="F136" s="18">
        <f t="shared" ref="F136:L136" si="7">SUMPRODUCT(COUNTIFS(F$120:F$127,$A$120:$A$151&amp;$B$120:$B$151))</f>
        <v>3</v>
      </c>
      <c r="G136" s="18">
        <f t="shared" si="7"/>
        <v>4</v>
      </c>
      <c r="H136" s="18">
        <f t="shared" si="7"/>
        <v>4</v>
      </c>
      <c r="I136" s="18">
        <f t="shared" si="7"/>
        <v>6</v>
      </c>
      <c r="J136" s="18">
        <f t="shared" si="7"/>
        <v>4</v>
      </c>
      <c r="K136" s="18">
        <f t="shared" si="7"/>
        <v>2</v>
      </c>
      <c r="L136" s="18">
        <f t="shared" si="7"/>
        <v>5</v>
      </c>
      <c r="N136" t="s">
        <v>119</v>
      </c>
    </row>
    <row r="137" spans="1:14" x14ac:dyDescent="0.25">
      <c r="A137" s="3">
        <v>18</v>
      </c>
      <c r="B137" s="3" t="s">
        <v>180</v>
      </c>
      <c r="C137" s="88" t="str">
        <f t="shared" si="5"/>
        <v>18b</v>
      </c>
    </row>
    <row r="138" spans="1:14" x14ac:dyDescent="0.25">
      <c r="A138" s="3">
        <v>19</v>
      </c>
      <c r="B138" s="3" t="s">
        <v>180</v>
      </c>
      <c r="C138" s="88" t="str">
        <f t="shared" si="5"/>
        <v>19b</v>
      </c>
    </row>
    <row r="139" spans="1:14" x14ac:dyDescent="0.25">
      <c r="A139" s="3">
        <v>20</v>
      </c>
      <c r="B139" s="3" t="s">
        <v>180</v>
      </c>
      <c r="C139" s="88" t="str">
        <f t="shared" si="5"/>
        <v>20b</v>
      </c>
    </row>
    <row r="140" spans="1:14" x14ac:dyDescent="0.25">
      <c r="A140" s="3">
        <v>21</v>
      </c>
      <c r="B140" s="3" t="s">
        <v>180</v>
      </c>
      <c r="C140" s="88" t="str">
        <f t="shared" si="5"/>
        <v>21b</v>
      </c>
    </row>
    <row r="141" spans="1:14" x14ac:dyDescent="0.25">
      <c r="A141" s="3">
        <v>22</v>
      </c>
      <c r="B141" s="3" t="s">
        <v>180</v>
      </c>
      <c r="C141" s="88" t="str">
        <f t="shared" si="5"/>
        <v>22b</v>
      </c>
    </row>
    <row r="142" spans="1:14" x14ac:dyDescent="0.25">
      <c r="A142" s="3">
        <v>23</v>
      </c>
      <c r="B142" s="3" t="s">
        <v>180</v>
      </c>
      <c r="C142" s="88" t="str">
        <f t="shared" si="5"/>
        <v>23b</v>
      </c>
    </row>
    <row r="143" spans="1:14" x14ac:dyDescent="0.25">
      <c r="A143" s="3">
        <v>24</v>
      </c>
      <c r="B143" s="3" t="s">
        <v>180</v>
      </c>
      <c r="C143" s="88" t="str">
        <f t="shared" si="5"/>
        <v>24b</v>
      </c>
    </row>
    <row r="144" spans="1:14" x14ac:dyDescent="0.25">
      <c r="A144" s="3">
        <v>25</v>
      </c>
      <c r="B144" s="3" t="s">
        <v>161</v>
      </c>
      <c r="C144" s="88" t="str">
        <f t="shared" si="5"/>
        <v>25a</v>
      </c>
    </row>
    <row r="145" spans="1:8" x14ac:dyDescent="0.25">
      <c r="A145" s="3">
        <v>26</v>
      </c>
      <c r="B145" s="3" t="s">
        <v>180</v>
      </c>
      <c r="C145" s="88" t="str">
        <f t="shared" si="5"/>
        <v>26b</v>
      </c>
    </row>
    <row r="146" spans="1:8" x14ac:dyDescent="0.25">
      <c r="A146" s="3">
        <v>27</v>
      </c>
      <c r="B146" s="3" t="s">
        <v>180</v>
      </c>
      <c r="C146" s="88" t="str">
        <f t="shared" si="5"/>
        <v>27b</v>
      </c>
    </row>
    <row r="147" spans="1:8" x14ac:dyDescent="0.25">
      <c r="A147" s="3">
        <v>28</v>
      </c>
      <c r="B147" s="3" t="s">
        <v>161</v>
      </c>
      <c r="C147" s="88" t="str">
        <f t="shared" si="5"/>
        <v>28a</v>
      </c>
    </row>
    <row r="148" spans="1:8" x14ac:dyDescent="0.25">
      <c r="A148" s="3">
        <v>29</v>
      </c>
      <c r="B148" s="3" t="s">
        <v>180</v>
      </c>
      <c r="C148" s="88" t="str">
        <f t="shared" si="5"/>
        <v>29b</v>
      </c>
    </row>
    <row r="149" spans="1:8" x14ac:dyDescent="0.25">
      <c r="A149" s="3">
        <v>30</v>
      </c>
      <c r="B149" s="3" t="s">
        <v>161</v>
      </c>
      <c r="C149" s="88" t="str">
        <f t="shared" si="5"/>
        <v>30a</v>
      </c>
    </row>
    <row r="150" spans="1:8" x14ac:dyDescent="0.25">
      <c r="A150" s="3">
        <v>31</v>
      </c>
      <c r="B150" s="3" t="s">
        <v>180</v>
      </c>
      <c r="C150" s="88" t="str">
        <f t="shared" si="5"/>
        <v>31b</v>
      </c>
    </row>
    <row r="151" spans="1:8" x14ac:dyDescent="0.25">
      <c r="A151" s="3">
        <v>32</v>
      </c>
      <c r="B151" s="3" t="s">
        <v>180</v>
      </c>
      <c r="C151" s="88" t="str">
        <f t="shared" si="5"/>
        <v>32b</v>
      </c>
    </row>
    <row r="155" spans="1:8" x14ac:dyDescent="0.25">
      <c r="A155" s="7" t="s">
        <v>340</v>
      </c>
      <c r="B155" s="8"/>
      <c r="C155" s="8"/>
      <c r="D155" s="8"/>
      <c r="E155" s="8"/>
      <c r="F155" s="9"/>
    </row>
    <row r="156" spans="1:8" x14ac:dyDescent="0.25">
      <c r="A156" s="27" t="s">
        <v>337</v>
      </c>
      <c r="B156" s="14"/>
      <c r="C156" s="14"/>
      <c r="D156" s="14"/>
      <c r="E156" s="14"/>
      <c r="F156" s="15"/>
    </row>
    <row r="158" spans="1:8" x14ac:dyDescent="0.25">
      <c r="A158" s="111" t="s">
        <v>105</v>
      </c>
      <c r="B158" s="112" t="s">
        <v>49</v>
      </c>
      <c r="C158" s="113" t="s">
        <v>41</v>
      </c>
      <c r="E158" s="19" t="s">
        <v>256</v>
      </c>
      <c r="F158" s="20"/>
    </row>
    <row r="159" spans="1:8" x14ac:dyDescent="0.25">
      <c r="A159" s="109" t="s">
        <v>254</v>
      </c>
      <c r="B159" s="29">
        <v>313.19</v>
      </c>
      <c r="C159" s="110">
        <v>165.99</v>
      </c>
      <c r="D159" s="53"/>
      <c r="E159" s="3" t="s">
        <v>254</v>
      </c>
      <c r="F159" s="18">
        <f t="array" ref="F159">AVERAGE(IF(Table1[Sales Rep]=$E159,Table1[Revenue]-Table1[COGS]))</f>
        <v>236.42</v>
      </c>
      <c r="H159" t="s">
        <v>315</v>
      </c>
    </row>
    <row r="160" spans="1:8" x14ac:dyDescent="0.25">
      <c r="A160" s="109" t="s">
        <v>255</v>
      </c>
      <c r="B160" s="29">
        <v>573.69000000000005</v>
      </c>
      <c r="C160" s="110">
        <v>200.79</v>
      </c>
      <c r="D160" s="53"/>
      <c r="E160" s="3" t="s">
        <v>255</v>
      </c>
      <c r="F160" s="18">
        <f t="array" ref="F160">AVERAGE(IF(Table1[Sales Rep]=$E160,Table1[Revenue]-Table1[COGS]))</f>
        <v>189.86142857142858</v>
      </c>
      <c r="H160" t="s">
        <v>123</v>
      </c>
    </row>
    <row r="161" spans="1:6" x14ac:dyDescent="0.25">
      <c r="A161" s="109" t="s">
        <v>88</v>
      </c>
      <c r="B161" s="29">
        <v>67.540000000000006</v>
      </c>
      <c r="C161" s="110">
        <v>33.770000000000003</v>
      </c>
      <c r="D161" s="53"/>
      <c r="E161" s="3" t="s">
        <v>88</v>
      </c>
      <c r="F161" s="18">
        <f t="array" ref="F161">AVERAGE(IF(Table1[Sales Rep]=$E161,Table1[Revenue]-Table1[COGS]))</f>
        <v>304.84800000000001</v>
      </c>
    </row>
    <row r="162" spans="1:6" x14ac:dyDescent="0.25">
      <c r="A162" s="109" t="s">
        <v>101</v>
      </c>
      <c r="B162" s="29">
        <v>767.4</v>
      </c>
      <c r="C162" s="110">
        <v>399.05</v>
      </c>
      <c r="D162" s="53"/>
      <c r="E162" s="3" t="s">
        <v>101</v>
      </c>
      <c r="F162" s="18">
        <f t="array" ref="F162">AVERAGE(IF(Table1[Sales Rep]=$E162,Table1[Revenue]-Table1[COGS]))</f>
        <v>204.54599999999999</v>
      </c>
    </row>
    <row r="163" spans="1:6" x14ac:dyDescent="0.25">
      <c r="A163" s="109" t="s">
        <v>101</v>
      </c>
      <c r="B163" s="29">
        <v>301.81</v>
      </c>
      <c r="C163" s="110">
        <v>126.76</v>
      </c>
      <c r="D163" s="53"/>
    </row>
    <row r="164" spans="1:6" x14ac:dyDescent="0.25">
      <c r="A164" s="109" t="s">
        <v>254</v>
      </c>
      <c r="B164" s="29">
        <v>581.33000000000004</v>
      </c>
      <c r="C164" s="110">
        <v>342.98</v>
      </c>
      <c r="D164" s="53"/>
    </row>
    <row r="165" spans="1:6" x14ac:dyDescent="0.25">
      <c r="A165" s="109" t="s">
        <v>101</v>
      </c>
      <c r="B165" s="29">
        <v>96.09</v>
      </c>
      <c r="C165" s="110">
        <v>51.89</v>
      </c>
      <c r="D165" s="53"/>
    </row>
    <row r="166" spans="1:6" x14ac:dyDescent="0.25">
      <c r="A166" s="109" t="s">
        <v>101</v>
      </c>
      <c r="B166" s="29">
        <v>269.23</v>
      </c>
      <c r="C166" s="110">
        <v>129.22999999999999</v>
      </c>
      <c r="D166" s="53"/>
    </row>
    <row r="167" spans="1:6" x14ac:dyDescent="0.25">
      <c r="A167" s="109" t="s">
        <v>255</v>
      </c>
      <c r="B167" s="29">
        <v>10.57</v>
      </c>
      <c r="C167" s="110">
        <v>3.81</v>
      </c>
      <c r="D167" s="53"/>
    </row>
    <row r="168" spans="1:6" x14ac:dyDescent="0.25">
      <c r="A168" s="109" t="s">
        <v>255</v>
      </c>
      <c r="B168" s="29">
        <v>373.23</v>
      </c>
      <c r="C168" s="110">
        <v>134.36000000000001</v>
      </c>
      <c r="D168" s="53"/>
    </row>
    <row r="169" spans="1:6" x14ac:dyDescent="0.25">
      <c r="A169" s="109" t="s">
        <v>88</v>
      </c>
      <c r="B169" s="29">
        <v>811.18</v>
      </c>
      <c r="C169" s="110">
        <v>413.7</v>
      </c>
      <c r="D169" s="53"/>
    </row>
    <row r="170" spans="1:6" x14ac:dyDescent="0.25">
      <c r="A170" s="109" t="s">
        <v>255</v>
      </c>
      <c r="B170" s="29">
        <v>893.84</v>
      </c>
      <c r="C170" s="110">
        <v>429.04</v>
      </c>
      <c r="D170" s="53"/>
    </row>
    <row r="171" spans="1:6" x14ac:dyDescent="0.25">
      <c r="A171" s="109" t="s">
        <v>88</v>
      </c>
      <c r="B171" s="29">
        <v>806.82</v>
      </c>
      <c r="C171" s="110">
        <v>306.58999999999997</v>
      </c>
      <c r="D171" s="53"/>
    </row>
    <row r="172" spans="1:6" x14ac:dyDescent="0.25">
      <c r="A172" s="109" t="s">
        <v>255</v>
      </c>
      <c r="B172" s="29">
        <v>559.02</v>
      </c>
      <c r="C172" s="110">
        <v>318.64</v>
      </c>
      <c r="D172" s="53"/>
    </row>
    <row r="173" spans="1:6" x14ac:dyDescent="0.25">
      <c r="A173" s="109" t="s">
        <v>88</v>
      </c>
      <c r="B173" s="29">
        <v>700.4</v>
      </c>
      <c r="C173" s="110">
        <v>287.16000000000003</v>
      </c>
      <c r="D173" s="53"/>
    </row>
    <row r="174" spans="1:6" x14ac:dyDescent="0.25">
      <c r="A174" s="109" t="s">
        <v>254</v>
      </c>
      <c r="B174" s="29">
        <v>530.67999999999995</v>
      </c>
      <c r="C174" s="110">
        <v>206.97</v>
      </c>
      <c r="D174" s="53"/>
    </row>
    <row r="175" spans="1:6" x14ac:dyDescent="0.25">
      <c r="A175" s="109" t="s">
        <v>255</v>
      </c>
      <c r="B175" s="29">
        <v>7.8100000000000005</v>
      </c>
      <c r="C175" s="110">
        <v>2.73</v>
      </c>
      <c r="D175" s="53"/>
    </row>
    <row r="176" spans="1:6" x14ac:dyDescent="0.25">
      <c r="A176" s="109" t="s">
        <v>88</v>
      </c>
      <c r="B176" s="29">
        <v>284.95</v>
      </c>
      <c r="C176" s="110">
        <v>105.43</v>
      </c>
      <c r="D176" s="53"/>
    </row>
    <row r="177" spans="1:6" x14ac:dyDescent="0.25">
      <c r="A177" s="109" t="s">
        <v>101</v>
      </c>
      <c r="B177" s="29">
        <v>476.02</v>
      </c>
      <c r="C177" s="110">
        <v>180.89</v>
      </c>
      <c r="D177" s="53"/>
    </row>
    <row r="178" spans="1:6" x14ac:dyDescent="0.25">
      <c r="A178" s="114" t="s">
        <v>255</v>
      </c>
      <c r="B178" s="115">
        <v>0.4</v>
      </c>
      <c r="C178" s="116">
        <v>0.16</v>
      </c>
      <c r="D178" s="53"/>
    </row>
    <row r="183" spans="1:6" x14ac:dyDescent="0.25">
      <c r="A183" s="7" t="s">
        <v>335</v>
      </c>
      <c r="B183" s="8"/>
      <c r="C183" s="8"/>
      <c r="D183" s="8"/>
      <c r="E183" s="8"/>
      <c r="F183" s="9"/>
    </row>
    <row r="184" spans="1:6" x14ac:dyDescent="0.25">
      <c r="A184" s="27" t="s">
        <v>132</v>
      </c>
      <c r="B184" s="14"/>
      <c r="C184" s="14"/>
      <c r="D184" s="14"/>
      <c r="E184" s="14"/>
      <c r="F184" s="15"/>
    </row>
    <row r="185" spans="1:6" x14ac:dyDescent="0.25">
      <c r="A185" s="1" t="s">
        <v>43</v>
      </c>
      <c r="B185" s="28" t="s">
        <v>44</v>
      </c>
      <c r="C185" s="28" t="s">
        <v>45</v>
      </c>
      <c r="D185" s="28" t="s">
        <v>46</v>
      </c>
      <c r="E185" s="28" t="s">
        <v>97</v>
      </c>
    </row>
    <row r="186" spans="1:6" x14ac:dyDescent="0.25">
      <c r="A186" s="1" t="s">
        <v>49</v>
      </c>
      <c r="B186" s="29">
        <v>65487</v>
      </c>
      <c r="C186" s="29">
        <v>75894</v>
      </c>
      <c r="D186" s="29">
        <v>65007</v>
      </c>
      <c r="E186" s="29">
        <f t="shared" ref="E186:E192" si="8">SUM(B186:D186)</f>
        <v>206388</v>
      </c>
    </row>
    <row r="187" spans="1:6" x14ac:dyDescent="0.25">
      <c r="A187" s="30" t="s">
        <v>41</v>
      </c>
      <c r="B187" s="31">
        <f t="shared" ref="B187:E190" si="9">ROUND(B$186*$G195,2)</f>
        <v>30422.63</v>
      </c>
      <c r="C187" s="31">
        <f t="shared" si="9"/>
        <v>35257.300000000003</v>
      </c>
      <c r="D187" s="31">
        <f t="shared" si="9"/>
        <v>30199.64</v>
      </c>
      <c r="E187" s="31">
        <f t="shared" si="9"/>
        <v>95879.57</v>
      </c>
    </row>
    <row r="188" spans="1:6" x14ac:dyDescent="0.25">
      <c r="A188" s="30" t="s">
        <v>50</v>
      </c>
      <c r="B188" s="31">
        <f t="shared" si="9"/>
        <v>12756.17</v>
      </c>
      <c r="C188" s="31">
        <f t="shared" si="9"/>
        <v>14783.34</v>
      </c>
      <c r="D188" s="31">
        <f t="shared" si="9"/>
        <v>12662.67</v>
      </c>
      <c r="E188" s="31">
        <f t="shared" si="9"/>
        <v>40202.17</v>
      </c>
    </row>
    <row r="189" spans="1:6" x14ac:dyDescent="0.25">
      <c r="A189" s="30" t="s">
        <v>51</v>
      </c>
      <c r="B189" s="31">
        <f t="shared" si="9"/>
        <v>10110.370000000001</v>
      </c>
      <c r="C189" s="31">
        <f t="shared" si="9"/>
        <v>11717.08</v>
      </c>
      <c r="D189" s="31">
        <f t="shared" si="9"/>
        <v>10036.27</v>
      </c>
      <c r="E189" s="31">
        <f t="shared" si="9"/>
        <v>31863.73</v>
      </c>
    </row>
    <row r="190" spans="1:6" x14ac:dyDescent="0.25">
      <c r="A190" s="30" t="s">
        <v>52</v>
      </c>
      <c r="B190" s="31">
        <f t="shared" si="9"/>
        <v>3274.35</v>
      </c>
      <c r="C190" s="31">
        <f t="shared" si="9"/>
        <v>3794.7</v>
      </c>
      <c r="D190" s="31">
        <f t="shared" si="9"/>
        <v>3250.35</v>
      </c>
      <c r="E190" s="31">
        <f t="shared" si="9"/>
        <v>10319.4</v>
      </c>
    </row>
    <row r="191" spans="1:6" ht="15.75" thickBot="1" x14ac:dyDescent="0.3">
      <c r="A191" s="1" t="s">
        <v>53</v>
      </c>
      <c r="B191" s="32">
        <f>SUM(B187:B190)</f>
        <v>56563.520000000004</v>
      </c>
      <c r="C191" s="33">
        <f>SUM(C187:C190)</f>
        <v>65552.42</v>
      </c>
      <c r="D191" s="33">
        <f>SUM(D187:D190)</f>
        <v>56148.93</v>
      </c>
      <c r="E191" s="33">
        <f t="shared" si="8"/>
        <v>178264.87</v>
      </c>
    </row>
    <row r="192" spans="1:6" ht="15.75" thickBot="1" x14ac:dyDescent="0.3">
      <c r="A192" s="1" t="s">
        <v>54</v>
      </c>
      <c r="B192" s="37">
        <f>B186-B191</f>
        <v>8923.4799999999959</v>
      </c>
      <c r="C192" s="38">
        <f>C186-C191</f>
        <v>10341.580000000002</v>
      </c>
      <c r="D192" s="38">
        <f>D186-D191</f>
        <v>8858.07</v>
      </c>
      <c r="E192" s="38">
        <f t="shared" si="8"/>
        <v>28123.129999999997</v>
      </c>
    </row>
    <row r="193" spans="1:10" ht="15.75" thickTop="1" x14ac:dyDescent="0.25"/>
    <row r="194" spans="1:10" x14ac:dyDescent="0.25">
      <c r="A194" s="64" t="s">
        <v>56</v>
      </c>
      <c r="B194" s="65"/>
      <c r="C194" s="65"/>
      <c r="D194" s="66"/>
      <c r="F194" s="75" t="s">
        <v>133</v>
      </c>
      <c r="G194" s="76"/>
    </row>
    <row r="195" spans="1:10" x14ac:dyDescent="0.25">
      <c r="A195" s="3" t="s">
        <v>41</v>
      </c>
      <c r="B195" s="3" t="s">
        <v>50</v>
      </c>
      <c r="C195" s="3" t="s">
        <v>51</v>
      </c>
      <c r="D195" s="3" t="s">
        <v>52</v>
      </c>
      <c r="F195" s="73" t="str">
        <f t="array" ref="F195:G198">TRANSPOSE($A$195:$D$196)</f>
        <v>COGS</v>
      </c>
      <c r="G195" s="74">
        <v>0.46455983312744287</v>
      </c>
      <c r="J195" t="s">
        <v>253</v>
      </c>
    </row>
    <row r="196" spans="1:10" x14ac:dyDescent="0.25">
      <c r="A196" s="36">
        <v>0.46455983312744287</v>
      </c>
      <c r="B196" s="36">
        <v>0.19478928289353775</v>
      </c>
      <c r="C196" s="36">
        <v>0.15438749265882257</v>
      </c>
      <c r="D196" s="36">
        <v>0.05</v>
      </c>
      <c r="F196" s="73" t="str">
        <v>Operating</v>
      </c>
      <c r="G196" s="74">
        <v>0.19478928289353775</v>
      </c>
    </row>
    <row r="197" spans="1:10" x14ac:dyDescent="0.25">
      <c r="F197" s="73" t="str">
        <v>Administrative</v>
      </c>
      <c r="G197" s="74">
        <v>0.15438749265882257</v>
      </c>
    </row>
    <row r="198" spans="1:10" x14ac:dyDescent="0.25">
      <c r="A198" t="s">
        <v>140</v>
      </c>
      <c r="F198" s="73" t="str">
        <v>Other</v>
      </c>
      <c r="G198" s="74">
        <v>0.05</v>
      </c>
    </row>
    <row r="199" spans="1:10" x14ac:dyDescent="0.25">
      <c r="A199" t="s">
        <v>127</v>
      </c>
    </row>
    <row r="200" spans="1:10" x14ac:dyDescent="0.25">
      <c r="A200" t="s">
        <v>128</v>
      </c>
    </row>
    <row r="201" spans="1:10" x14ac:dyDescent="0.25">
      <c r="A201" t="s">
        <v>129</v>
      </c>
    </row>
    <row r="202" spans="1:10" x14ac:dyDescent="0.25">
      <c r="A202" t="s">
        <v>131</v>
      </c>
    </row>
    <row r="203" spans="1:10" x14ac:dyDescent="0.25">
      <c r="A203" t="s">
        <v>130</v>
      </c>
    </row>
    <row r="206" spans="1:10" x14ac:dyDescent="0.25">
      <c r="A206" s="7" t="s">
        <v>336</v>
      </c>
      <c r="B206" s="8"/>
      <c r="C206" s="8"/>
      <c r="D206" s="8"/>
      <c r="E206" s="8"/>
      <c r="F206" s="9"/>
    </row>
    <row r="207" spans="1:10" x14ac:dyDescent="0.25">
      <c r="A207" s="27" t="s">
        <v>229</v>
      </c>
      <c r="B207" s="14"/>
      <c r="C207" s="14"/>
      <c r="D207" s="14"/>
      <c r="E207" s="14"/>
      <c r="F207" s="15"/>
    </row>
    <row r="209" spans="1:9" x14ac:dyDescent="0.25">
      <c r="A209" s="71" t="s">
        <v>40</v>
      </c>
      <c r="C209" s="1" t="s">
        <v>136</v>
      </c>
      <c r="D209" s="1" t="s">
        <v>137</v>
      </c>
      <c r="E209" s="1" t="s">
        <v>138</v>
      </c>
      <c r="I209" t="s">
        <v>269</v>
      </c>
    </row>
    <row r="210" spans="1:9" x14ac:dyDescent="0.25">
      <c r="A210" s="72">
        <v>249.99</v>
      </c>
      <c r="C210" s="3" t="str">
        <f>"Sales &lt;= "&amp;DOLLAR(D210,0)</f>
        <v>Sales &lt;= $250</v>
      </c>
      <c r="D210" s="3">
        <v>250</v>
      </c>
      <c r="E210" s="18">
        <f t="array" ref="E210:E214">FREQUENCY(A210:A222,D210:D213)</f>
        <v>2</v>
      </c>
      <c r="I210" s="1" t="s">
        <v>138</v>
      </c>
    </row>
    <row r="211" spans="1:9" x14ac:dyDescent="0.25">
      <c r="A211" s="72">
        <v>250</v>
      </c>
      <c r="C211" s="3" t="str">
        <f t="shared" ref="C211:C213" si="10">DOLLAR(D210,0)&amp;" &lt; Sales &lt;= "&amp;DOLLAR(D211,0)</f>
        <v>$250 &lt; Sales &lt;= $500</v>
      </c>
      <c r="D211" s="3">
        <v>500</v>
      </c>
      <c r="E211" s="18">
        <v>4</v>
      </c>
      <c r="I211" s="18">
        <f t="array" ref="I211:I215">FREQUENCY(A210:A222,{250;500;750;1000})</f>
        <v>2</v>
      </c>
    </row>
    <row r="212" spans="1:9" x14ac:dyDescent="0.25">
      <c r="A212" s="72">
        <v>250.01</v>
      </c>
      <c r="C212" s="3" t="str">
        <f t="shared" si="10"/>
        <v>$500 &lt; Sales &lt;= $750</v>
      </c>
      <c r="D212" s="3">
        <v>750</v>
      </c>
      <c r="E212" s="18">
        <v>1</v>
      </c>
      <c r="I212" s="18">
        <v>4</v>
      </c>
    </row>
    <row r="213" spans="1:9" x14ac:dyDescent="0.25">
      <c r="A213" s="72">
        <v>450</v>
      </c>
      <c r="C213" s="3" t="str">
        <f t="shared" si="10"/>
        <v>$750 &lt; Sales &lt;= $1,000</v>
      </c>
      <c r="D213" s="3">
        <v>1000</v>
      </c>
      <c r="E213" s="18">
        <v>5</v>
      </c>
      <c r="I213" s="18">
        <v>1</v>
      </c>
    </row>
    <row r="214" spans="1:9" x14ac:dyDescent="0.25">
      <c r="A214" s="72">
        <v>499.99</v>
      </c>
      <c r="C214" s="3" t="str">
        <f>"Sales &gt; "&amp;DOLLAR(D213,0)</f>
        <v>Sales &gt; $1,000</v>
      </c>
      <c r="D214" s="3"/>
      <c r="E214" s="18">
        <v>1</v>
      </c>
      <c r="I214" s="18">
        <v>5</v>
      </c>
    </row>
    <row r="215" spans="1:9" x14ac:dyDescent="0.25">
      <c r="A215" s="72">
        <v>500</v>
      </c>
      <c r="I215" s="18">
        <v>1</v>
      </c>
    </row>
    <row r="216" spans="1:9" x14ac:dyDescent="0.25">
      <c r="A216" s="72">
        <v>500.01</v>
      </c>
      <c r="C216" t="s">
        <v>146</v>
      </c>
    </row>
    <row r="217" spans="1:9" x14ac:dyDescent="0.25">
      <c r="A217" s="72">
        <v>800</v>
      </c>
      <c r="C217" s="63" t="s">
        <v>144</v>
      </c>
    </row>
    <row r="218" spans="1:9" x14ac:dyDescent="0.25">
      <c r="A218" s="72">
        <v>900</v>
      </c>
      <c r="C218" s="63" t="s">
        <v>145</v>
      </c>
    </row>
    <row r="219" spans="1:9" x14ac:dyDescent="0.25">
      <c r="A219" s="72">
        <v>850</v>
      </c>
      <c r="C219" s="63" t="s">
        <v>139</v>
      </c>
    </row>
    <row r="220" spans="1:9" x14ac:dyDescent="0.25">
      <c r="A220" s="72">
        <v>800</v>
      </c>
      <c r="C220" s="4" t="s">
        <v>143</v>
      </c>
    </row>
    <row r="221" spans="1:9" x14ac:dyDescent="0.25">
      <c r="A221" s="72">
        <v>1000</v>
      </c>
      <c r="C221" t="s">
        <v>232</v>
      </c>
    </row>
    <row r="222" spans="1:9" x14ac:dyDescent="0.25">
      <c r="A222" s="72">
        <v>2000</v>
      </c>
      <c r="C222" t="s">
        <v>141</v>
      </c>
    </row>
    <row r="223" spans="1:9" x14ac:dyDescent="0.25">
      <c r="C223" t="s">
        <v>142</v>
      </c>
    </row>
    <row r="229" spans="1:7" x14ac:dyDescent="0.25">
      <c r="A229" s="7" t="s">
        <v>338</v>
      </c>
      <c r="B229" s="8"/>
      <c r="C229" s="8"/>
      <c r="D229" s="8"/>
      <c r="E229" s="8"/>
      <c r="F229" s="9"/>
    </row>
    <row r="230" spans="1:7" x14ac:dyDescent="0.25">
      <c r="A230" s="27" t="s">
        <v>332</v>
      </c>
      <c r="B230" s="14"/>
      <c r="C230" s="14"/>
      <c r="D230" s="14"/>
      <c r="E230" s="14"/>
      <c r="F230" s="15"/>
    </row>
    <row r="232" spans="1:7" ht="45" x14ac:dyDescent="0.25">
      <c r="A232" s="55" t="s">
        <v>115</v>
      </c>
      <c r="B232" s="56" t="s">
        <v>116</v>
      </c>
      <c r="D232" s="57" t="s">
        <v>115</v>
      </c>
      <c r="E232" s="57" t="s">
        <v>118</v>
      </c>
    </row>
    <row r="233" spans="1:7" x14ac:dyDescent="0.25">
      <c r="A233" s="58" t="s">
        <v>117</v>
      </c>
      <c r="B233" s="59">
        <v>6.7</v>
      </c>
      <c r="D233" s="3" t="s">
        <v>117</v>
      </c>
      <c r="E233" s="60">
        <f>_xlfn.MINIFS($B$233:$B$392,$A$233:$A$392,$D233)</f>
        <v>4.2</v>
      </c>
      <c r="G233" t="s">
        <v>314</v>
      </c>
    </row>
    <row r="234" spans="1:7" x14ac:dyDescent="0.25">
      <c r="A234" s="61" t="s">
        <v>31</v>
      </c>
      <c r="B234" s="62">
        <v>5.4</v>
      </c>
      <c r="D234" s="3" t="s">
        <v>31</v>
      </c>
      <c r="E234" s="60">
        <f t="array" ref="E234">MIN(IF($A$233:$A$392=D234,$B$233:$B$392))</f>
        <v>4</v>
      </c>
      <c r="G234" t="s">
        <v>123</v>
      </c>
    </row>
    <row r="235" spans="1:7" x14ac:dyDescent="0.25">
      <c r="A235" s="58" t="s">
        <v>31</v>
      </c>
      <c r="B235" s="59">
        <v>4.7</v>
      </c>
      <c r="D235" s="3" t="s">
        <v>32</v>
      </c>
      <c r="E235" s="60">
        <f>MIN(IF($A$233:$A$392=D235,$B$233:$B$392))</f>
        <v>0</v>
      </c>
    </row>
    <row r="236" spans="1:7" x14ac:dyDescent="0.25">
      <c r="A236" s="58" t="s">
        <v>32</v>
      </c>
      <c r="B236" s="59">
        <v>5.2</v>
      </c>
    </row>
    <row r="237" spans="1:7" x14ac:dyDescent="0.25">
      <c r="A237" s="58" t="s">
        <v>32</v>
      </c>
      <c r="B237" s="59">
        <v>5.2</v>
      </c>
      <c r="D237" s="57" t="s">
        <v>115</v>
      </c>
      <c r="E237" s="57" t="s">
        <v>118</v>
      </c>
    </row>
    <row r="238" spans="1:7" x14ac:dyDescent="0.25">
      <c r="A238" s="58" t="s">
        <v>32</v>
      </c>
      <c r="B238" s="59">
        <v>5.4</v>
      </c>
      <c r="D238" s="3" t="s">
        <v>117</v>
      </c>
      <c r="E238" s="60">
        <f>_xlfn.AGGREGATE(15,6,$B$233:$B$392/($A$233:$A$392=D238),1)</f>
        <v>4.2</v>
      </c>
      <c r="G238" t="s">
        <v>125</v>
      </c>
    </row>
    <row r="239" spans="1:7" x14ac:dyDescent="0.25">
      <c r="A239" s="58" t="s">
        <v>31</v>
      </c>
      <c r="B239" s="59">
        <v>4.5999999999999996</v>
      </c>
      <c r="D239" s="3" t="s">
        <v>31</v>
      </c>
      <c r="E239" s="60">
        <f>_xlfn.AGGREGATE(15,6,$B$233:$B$392/($A$233:$A$392=D239),1)</f>
        <v>4</v>
      </c>
      <c r="G239" t="s">
        <v>124</v>
      </c>
    </row>
    <row r="240" spans="1:7" x14ac:dyDescent="0.25">
      <c r="A240" s="61" t="s">
        <v>31</v>
      </c>
      <c r="B240" s="62">
        <v>4.4000000000000004</v>
      </c>
      <c r="D240" s="3" t="s">
        <v>32</v>
      </c>
      <c r="E240" s="60">
        <f>_xlfn.AGGREGATE(15,6,$B$233:$B$392/($A$233:$A$392=D240),1)</f>
        <v>5.2</v>
      </c>
    </row>
    <row r="241" spans="1:7" x14ac:dyDescent="0.25">
      <c r="A241" s="58" t="s">
        <v>117</v>
      </c>
      <c r="B241" s="59">
        <v>5.9</v>
      </c>
    </row>
    <row r="242" spans="1:7" x14ac:dyDescent="0.25">
      <c r="A242" s="61" t="s">
        <v>31</v>
      </c>
      <c r="B242" s="62">
        <v>6.7</v>
      </c>
      <c r="D242" s="57" t="s">
        <v>115</v>
      </c>
      <c r="E242" s="57" t="s">
        <v>118</v>
      </c>
    </row>
    <row r="243" spans="1:7" x14ac:dyDescent="0.25">
      <c r="A243" s="58" t="s">
        <v>31</v>
      </c>
      <c r="B243" s="59">
        <v>6.3</v>
      </c>
      <c r="D243" s="3" t="s">
        <v>117</v>
      </c>
      <c r="E243" s="60">
        <f>_xlfn.MINIFS($B$233:$B$392,$A$233:$A$392,D243)</f>
        <v>4.2</v>
      </c>
      <c r="G243" t="s">
        <v>122</v>
      </c>
    </row>
    <row r="244" spans="1:7" x14ac:dyDescent="0.25">
      <c r="A244" s="61" t="s">
        <v>31</v>
      </c>
      <c r="B244" s="62">
        <v>5.6</v>
      </c>
      <c r="D244" s="3" t="s">
        <v>31</v>
      </c>
      <c r="E244" s="60">
        <f>_xlfn.MINIFS($B$233:$B$392,$A$233:$A$392,D244)</f>
        <v>4</v>
      </c>
      <c r="G244" t="s">
        <v>126</v>
      </c>
    </row>
    <row r="245" spans="1:7" x14ac:dyDescent="0.25">
      <c r="A245" s="58" t="s">
        <v>32</v>
      </c>
      <c r="B245" s="59">
        <v>5.7</v>
      </c>
      <c r="D245" s="3" t="s">
        <v>32</v>
      </c>
      <c r="E245" s="60">
        <f>_xlfn.MINIFS($B$233:$B$392,$A$233:$A$392,D245)</f>
        <v>5.2</v>
      </c>
    </row>
    <row r="246" spans="1:7" x14ac:dyDescent="0.25">
      <c r="A246" s="61" t="s">
        <v>32</v>
      </c>
      <c r="B246" s="62">
        <v>5.7</v>
      </c>
    </row>
    <row r="247" spans="1:7" ht="45" x14ac:dyDescent="0.25">
      <c r="A247" s="58" t="s">
        <v>31</v>
      </c>
      <c r="B247" s="59">
        <v>4.5</v>
      </c>
      <c r="D247" s="57" t="s">
        <v>115</v>
      </c>
      <c r="E247" s="57" t="s">
        <v>267</v>
      </c>
    </row>
    <row r="248" spans="1:7" x14ac:dyDescent="0.25">
      <c r="A248" s="61" t="s">
        <v>32</v>
      </c>
      <c r="B248" s="62">
        <v>5.8</v>
      </c>
      <c r="D248" s="3" t="s">
        <v>117</v>
      </c>
      <c r="E248" s="60">
        <f t="array" ref="E248">_xlfn.STDEV.S(IF($A$233:$A$392=D248,$B$233:$B$392))</f>
        <v>0.86857945641652701</v>
      </c>
    </row>
    <row r="249" spans="1:7" x14ac:dyDescent="0.25">
      <c r="A249" s="61" t="s">
        <v>32</v>
      </c>
      <c r="B249" s="62">
        <v>5.8</v>
      </c>
      <c r="D249" s="3" t="s">
        <v>31</v>
      </c>
      <c r="E249" s="60">
        <f t="array" ref="E249">_xlfn.STDEV.S(IF($A$233:$A$392=D249,$B$233:$B$392))</f>
        <v>0.83669608091889158</v>
      </c>
    </row>
    <row r="250" spans="1:7" x14ac:dyDescent="0.25">
      <c r="A250" s="61" t="s">
        <v>32</v>
      </c>
      <c r="B250" s="62">
        <v>5.9</v>
      </c>
      <c r="D250" s="3" t="s">
        <v>32</v>
      </c>
      <c r="E250" s="60">
        <f t="array" ref="E250">_xlfn.STDEV.S(IF($A$233:$A$392=D250,$B$233:$B$392))</f>
        <v>1.4061981856159838</v>
      </c>
    </row>
    <row r="251" spans="1:7" x14ac:dyDescent="0.25">
      <c r="A251" s="58" t="s">
        <v>117</v>
      </c>
      <c r="B251" s="59">
        <v>6.7</v>
      </c>
    </row>
    <row r="252" spans="1:7" x14ac:dyDescent="0.25">
      <c r="A252" s="61" t="s">
        <v>31</v>
      </c>
      <c r="B252" s="62">
        <v>5.2</v>
      </c>
    </row>
    <row r="253" spans="1:7" x14ac:dyDescent="0.25">
      <c r="A253" s="58" t="s">
        <v>32</v>
      </c>
      <c r="B253" s="59">
        <v>5.9</v>
      </c>
    </row>
    <row r="254" spans="1:7" x14ac:dyDescent="0.25">
      <c r="A254" s="61" t="s">
        <v>32</v>
      </c>
      <c r="B254" s="62">
        <v>5.9</v>
      </c>
    </row>
    <row r="255" spans="1:7" x14ac:dyDescent="0.25">
      <c r="A255" s="58" t="s">
        <v>117</v>
      </c>
      <c r="B255" s="59">
        <v>4.2</v>
      </c>
    </row>
    <row r="256" spans="1:7" x14ac:dyDescent="0.25">
      <c r="A256" s="61" t="s">
        <v>32</v>
      </c>
      <c r="B256" s="62">
        <v>6</v>
      </c>
    </row>
    <row r="257" spans="1:2" x14ac:dyDescent="0.25">
      <c r="A257" s="58" t="s">
        <v>117</v>
      </c>
      <c r="B257" s="59">
        <v>6.3</v>
      </c>
    </row>
    <row r="258" spans="1:2" x14ac:dyDescent="0.25">
      <c r="A258" s="58" t="s">
        <v>32</v>
      </c>
      <c r="B258" s="59">
        <v>6.1</v>
      </c>
    </row>
    <row r="259" spans="1:2" x14ac:dyDescent="0.25">
      <c r="A259" s="61" t="s">
        <v>32</v>
      </c>
      <c r="B259" s="62">
        <v>6.2</v>
      </c>
    </row>
    <row r="260" spans="1:2" x14ac:dyDescent="0.25">
      <c r="A260" s="61" t="s">
        <v>117</v>
      </c>
      <c r="B260" s="62">
        <v>6.4</v>
      </c>
    </row>
    <row r="261" spans="1:2" x14ac:dyDescent="0.25">
      <c r="A261" s="58" t="s">
        <v>32</v>
      </c>
      <c r="B261" s="59">
        <v>6.2</v>
      </c>
    </row>
    <row r="262" spans="1:2" x14ac:dyDescent="0.25">
      <c r="A262" s="61" t="s">
        <v>32</v>
      </c>
      <c r="B262" s="62">
        <v>6.7</v>
      </c>
    </row>
    <row r="263" spans="1:2" x14ac:dyDescent="0.25">
      <c r="A263" s="58" t="s">
        <v>117</v>
      </c>
      <c r="B263" s="59">
        <v>6.9</v>
      </c>
    </row>
    <row r="264" spans="1:2" x14ac:dyDescent="0.25">
      <c r="A264" s="61" t="s">
        <v>31</v>
      </c>
      <c r="B264" s="62">
        <v>5.7</v>
      </c>
    </row>
    <row r="265" spans="1:2" x14ac:dyDescent="0.25">
      <c r="A265" s="58" t="s">
        <v>32</v>
      </c>
      <c r="B265" s="59">
        <v>6.7</v>
      </c>
    </row>
    <row r="266" spans="1:2" x14ac:dyDescent="0.25">
      <c r="A266" s="61" t="s">
        <v>117</v>
      </c>
      <c r="B266" s="62">
        <v>4.4000000000000004</v>
      </c>
    </row>
    <row r="267" spans="1:2" x14ac:dyDescent="0.25">
      <c r="A267" s="58" t="s">
        <v>32</v>
      </c>
      <c r="B267" s="59">
        <v>7</v>
      </c>
    </row>
    <row r="268" spans="1:2" x14ac:dyDescent="0.25">
      <c r="A268" s="61" t="s">
        <v>117</v>
      </c>
      <c r="B268" s="62">
        <v>6.6</v>
      </c>
    </row>
    <row r="269" spans="1:2" x14ac:dyDescent="0.25">
      <c r="A269" s="58" t="s">
        <v>32</v>
      </c>
      <c r="B269" s="59">
        <v>7.1</v>
      </c>
    </row>
    <row r="270" spans="1:2" x14ac:dyDescent="0.25">
      <c r="A270" s="61" t="s">
        <v>32</v>
      </c>
      <c r="B270" s="62">
        <v>7.2</v>
      </c>
    </row>
    <row r="271" spans="1:2" x14ac:dyDescent="0.25">
      <c r="A271" s="61" t="s">
        <v>32</v>
      </c>
      <c r="B271" s="62">
        <v>7.2</v>
      </c>
    </row>
    <row r="272" spans="1:2" x14ac:dyDescent="0.25">
      <c r="A272" s="61" t="s">
        <v>31</v>
      </c>
      <c r="B272" s="62">
        <v>4.7</v>
      </c>
    </row>
    <row r="273" spans="1:2" x14ac:dyDescent="0.25">
      <c r="A273" s="58" t="s">
        <v>117</v>
      </c>
      <c r="B273" s="59">
        <v>6.2</v>
      </c>
    </row>
    <row r="274" spans="1:2" x14ac:dyDescent="0.25">
      <c r="A274" s="58" t="s">
        <v>32</v>
      </c>
      <c r="B274" s="59">
        <v>7.3</v>
      </c>
    </row>
    <row r="275" spans="1:2" x14ac:dyDescent="0.25">
      <c r="A275" s="58" t="s">
        <v>32</v>
      </c>
      <c r="B275" s="59">
        <v>7.4</v>
      </c>
    </row>
    <row r="276" spans="1:2" x14ac:dyDescent="0.25">
      <c r="A276" s="61" t="s">
        <v>32</v>
      </c>
      <c r="B276" s="62">
        <v>7.4</v>
      </c>
    </row>
    <row r="277" spans="1:2" x14ac:dyDescent="0.25">
      <c r="A277" s="58" t="s">
        <v>31</v>
      </c>
      <c r="B277" s="59">
        <v>6</v>
      </c>
    </row>
    <row r="278" spans="1:2" x14ac:dyDescent="0.25">
      <c r="A278" s="61" t="s">
        <v>31</v>
      </c>
      <c r="B278" s="62">
        <v>6.8</v>
      </c>
    </row>
    <row r="279" spans="1:2" x14ac:dyDescent="0.25">
      <c r="A279" s="58" t="s">
        <v>31</v>
      </c>
      <c r="B279" s="59">
        <v>6.2</v>
      </c>
    </row>
    <row r="280" spans="1:2" x14ac:dyDescent="0.25">
      <c r="A280" s="61" t="s">
        <v>31</v>
      </c>
      <c r="B280" s="62">
        <v>4.3</v>
      </c>
    </row>
    <row r="281" spans="1:2" x14ac:dyDescent="0.25">
      <c r="A281" s="58" t="s">
        <v>117</v>
      </c>
      <c r="B281" s="59">
        <v>4.4000000000000004</v>
      </c>
    </row>
    <row r="282" spans="1:2" x14ac:dyDescent="0.25">
      <c r="A282" s="61" t="s">
        <v>31</v>
      </c>
      <c r="B282" s="62">
        <v>4.8</v>
      </c>
    </row>
    <row r="283" spans="1:2" x14ac:dyDescent="0.25">
      <c r="A283" s="58" t="s">
        <v>32</v>
      </c>
      <c r="B283" s="59">
        <v>7.5</v>
      </c>
    </row>
    <row r="284" spans="1:2" x14ac:dyDescent="0.25">
      <c r="A284" s="61" t="s">
        <v>117</v>
      </c>
      <c r="B284" s="62">
        <v>5.2</v>
      </c>
    </row>
    <row r="285" spans="1:2" x14ac:dyDescent="0.25">
      <c r="A285" s="58" t="s">
        <v>117</v>
      </c>
      <c r="B285" s="59">
        <v>5.7</v>
      </c>
    </row>
    <row r="286" spans="1:2" x14ac:dyDescent="0.25">
      <c r="A286" s="61" t="s">
        <v>32</v>
      </c>
      <c r="B286" s="62">
        <v>7.5</v>
      </c>
    </row>
    <row r="287" spans="1:2" x14ac:dyDescent="0.25">
      <c r="A287" s="58" t="s">
        <v>117</v>
      </c>
      <c r="B287" s="59">
        <v>6.1</v>
      </c>
    </row>
    <row r="288" spans="1:2" x14ac:dyDescent="0.25">
      <c r="A288" s="61" t="s">
        <v>117</v>
      </c>
      <c r="B288" s="62">
        <v>6.7</v>
      </c>
    </row>
    <row r="289" spans="1:2" x14ac:dyDescent="0.25">
      <c r="A289" s="58" t="s">
        <v>31</v>
      </c>
      <c r="B289" s="59">
        <v>5</v>
      </c>
    </row>
    <row r="290" spans="1:2" x14ac:dyDescent="0.25">
      <c r="A290" s="61" t="s">
        <v>117</v>
      </c>
      <c r="B290" s="62">
        <v>6.7</v>
      </c>
    </row>
    <row r="291" spans="1:2" x14ac:dyDescent="0.25">
      <c r="A291" s="58" t="s">
        <v>32</v>
      </c>
      <c r="B291" s="59">
        <v>7.6</v>
      </c>
    </row>
    <row r="292" spans="1:2" x14ac:dyDescent="0.25">
      <c r="A292" s="61" t="s">
        <v>117</v>
      </c>
      <c r="B292" s="62">
        <v>6.1</v>
      </c>
    </row>
    <row r="293" spans="1:2" x14ac:dyDescent="0.25">
      <c r="A293" s="58" t="s">
        <v>31</v>
      </c>
      <c r="B293" s="59">
        <v>4.2</v>
      </c>
    </row>
    <row r="294" spans="1:2" x14ac:dyDescent="0.25">
      <c r="A294" s="61" t="s">
        <v>32</v>
      </c>
      <c r="B294" s="62">
        <v>7.6</v>
      </c>
    </row>
    <row r="295" spans="1:2" x14ac:dyDescent="0.25">
      <c r="A295" s="58" t="s">
        <v>31</v>
      </c>
      <c r="B295" s="59">
        <v>6.1</v>
      </c>
    </row>
    <row r="296" spans="1:2" x14ac:dyDescent="0.25">
      <c r="A296" s="61" t="s">
        <v>117</v>
      </c>
      <c r="B296" s="62">
        <v>4.2</v>
      </c>
    </row>
    <row r="297" spans="1:2" x14ac:dyDescent="0.25">
      <c r="A297" s="58" t="s">
        <v>31</v>
      </c>
      <c r="B297" s="59">
        <v>4.3</v>
      </c>
    </row>
    <row r="298" spans="1:2" x14ac:dyDescent="0.25">
      <c r="A298" s="61" t="s">
        <v>117</v>
      </c>
      <c r="B298" s="62">
        <v>7</v>
      </c>
    </row>
    <row r="299" spans="1:2" x14ac:dyDescent="0.25">
      <c r="A299" s="58" t="s">
        <v>117</v>
      </c>
      <c r="B299" s="59">
        <v>6.1</v>
      </c>
    </row>
    <row r="300" spans="1:2" x14ac:dyDescent="0.25">
      <c r="A300" s="61" t="s">
        <v>31</v>
      </c>
      <c r="B300" s="62">
        <v>6.7</v>
      </c>
    </row>
    <row r="301" spans="1:2" x14ac:dyDescent="0.25">
      <c r="A301" s="58" t="s">
        <v>117</v>
      </c>
      <c r="B301" s="59">
        <v>6.3</v>
      </c>
    </row>
    <row r="302" spans="1:2" x14ac:dyDescent="0.25">
      <c r="A302" s="61" t="s">
        <v>31</v>
      </c>
      <c r="B302" s="62">
        <v>4.5999999999999996</v>
      </c>
    </row>
    <row r="303" spans="1:2" x14ac:dyDescent="0.25">
      <c r="A303" s="61" t="s">
        <v>32</v>
      </c>
      <c r="B303" s="62">
        <v>7.6</v>
      </c>
    </row>
    <row r="304" spans="1:2" x14ac:dyDescent="0.25">
      <c r="A304" s="61" t="s">
        <v>32</v>
      </c>
      <c r="B304" s="62">
        <v>7.7</v>
      </c>
    </row>
    <row r="305" spans="1:2" x14ac:dyDescent="0.25">
      <c r="A305" s="58" t="s">
        <v>31</v>
      </c>
      <c r="B305" s="59">
        <v>5.8</v>
      </c>
    </row>
    <row r="306" spans="1:2" x14ac:dyDescent="0.25">
      <c r="A306" s="61" t="s">
        <v>32</v>
      </c>
      <c r="B306" s="62">
        <v>7.8</v>
      </c>
    </row>
    <row r="307" spans="1:2" x14ac:dyDescent="0.25">
      <c r="A307" s="58" t="s">
        <v>117</v>
      </c>
      <c r="B307" s="59">
        <v>5.7</v>
      </c>
    </row>
    <row r="308" spans="1:2" x14ac:dyDescent="0.25">
      <c r="A308" s="61" t="s">
        <v>117</v>
      </c>
      <c r="B308" s="62">
        <v>5.7</v>
      </c>
    </row>
    <row r="309" spans="1:2" x14ac:dyDescent="0.25">
      <c r="A309" s="61" t="s">
        <v>32</v>
      </c>
      <c r="B309" s="62">
        <v>7.9</v>
      </c>
    </row>
    <row r="310" spans="1:2" x14ac:dyDescent="0.25">
      <c r="A310" s="58" t="s">
        <v>32</v>
      </c>
      <c r="B310" s="59">
        <v>7.9</v>
      </c>
    </row>
    <row r="311" spans="1:2" x14ac:dyDescent="0.25">
      <c r="A311" s="61" t="s">
        <v>32</v>
      </c>
      <c r="B311" s="62">
        <v>7.9</v>
      </c>
    </row>
    <row r="312" spans="1:2" x14ac:dyDescent="0.25">
      <c r="A312" s="58" t="s">
        <v>32</v>
      </c>
      <c r="B312" s="59">
        <v>8</v>
      </c>
    </row>
    <row r="313" spans="1:2" x14ac:dyDescent="0.25">
      <c r="A313" s="58" t="s">
        <v>31</v>
      </c>
      <c r="B313" s="59">
        <v>4.2</v>
      </c>
    </row>
    <row r="314" spans="1:2" x14ac:dyDescent="0.25">
      <c r="A314" s="61" t="s">
        <v>31</v>
      </c>
      <c r="B314" s="62">
        <v>4.5999999999999996</v>
      </c>
    </row>
    <row r="315" spans="1:2" x14ac:dyDescent="0.25">
      <c r="A315" s="58" t="s">
        <v>31</v>
      </c>
      <c r="B315" s="59">
        <v>4</v>
      </c>
    </row>
    <row r="316" spans="1:2" x14ac:dyDescent="0.25">
      <c r="A316" s="61" t="s">
        <v>117</v>
      </c>
      <c r="B316" s="62">
        <v>6</v>
      </c>
    </row>
    <row r="317" spans="1:2" x14ac:dyDescent="0.25">
      <c r="A317" s="58" t="s">
        <v>31</v>
      </c>
      <c r="B317" s="59">
        <v>4.5</v>
      </c>
    </row>
    <row r="318" spans="1:2" x14ac:dyDescent="0.25">
      <c r="A318" s="61" t="s">
        <v>32</v>
      </c>
      <c r="B318" s="62">
        <v>8.1</v>
      </c>
    </row>
    <row r="319" spans="1:2" x14ac:dyDescent="0.25">
      <c r="A319" s="58" t="s">
        <v>32</v>
      </c>
      <c r="B319" s="59">
        <v>8.1999999999999993</v>
      </c>
    </row>
    <row r="320" spans="1:2" x14ac:dyDescent="0.25">
      <c r="A320" s="61" t="s">
        <v>117</v>
      </c>
      <c r="B320" s="62">
        <v>6.8</v>
      </c>
    </row>
    <row r="321" spans="1:2" x14ac:dyDescent="0.25">
      <c r="A321" s="61" t="s">
        <v>32</v>
      </c>
      <c r="B321" s="62">
        <v>8.3000000000000007</v>
      </c>
    </row>
    <row r="322" spans="1:2" x14ac:dyDescent="0.25">
      <c r="A322" s="61" t="s">
        <v>31</v>
      </c>
      <c r="B322" s="62">
        <v>4.8</v>
      </c>
    </row>
    <row r="323" spans="1:2" x14ac:dyDescent="0.25">
      <c r="A323" s="61" t="s">
        <v>32</v>
      </c>
      <c r="B323" s="62">
        <v>8.5</v>
      </c>
    </row>
    <row r="324" spans="1:2" x14ac:dyDescent="0.25">
      <c r="A324" s="61" t="s">
        <v>32</v>
      </c>
      <c r="B324" s="62">
        <v>8.6</v>
      </c>
    </row>
    <row r="325" spans="1:2" x14ac:dyDescent="0.25">
      <c r="A325" s="61" t="s">
        <v>32</v>
      </c>
      <c r="B325" s="62">
        <v>8.6</v>
      </c>
    </row>
    <row r="326" spans="1:2" x14ac:dyDescent="0.25">
      <c r="A326" s="61" t="s">
        <v>31</v>
      </c>
      <c r="B326" s="62">
        <v>5.4</v>
      </c>
    </row>
    <row r="327" spans="1:2" x14ac:dyDescent="0.25">
      <c r="A327" s="58" t="s">
        <v>117</v>
      </c>
      <c r="B327" s="59">
        <v>6.9</v>
      </c>
    </row>
    <row r="328" spans="1:2" x14ac:dyDescent="0.25">
      <c r="A328" s="61" t="s">
        <v>117</v>
      </c>
      <c r="B328" s="62">
        <v>6.3</v>
      </c>
    </row>
    <row r="329" spans="1:2" x14ac:dyDescent="0.25">
      <c r="A329" s="58" t="s">
        <v>31</v>
      </c>
      <c r="B329" s="59">
        <v>6.1</v>
      </c>
    </row>
    <row r="330" spans="1:2" x14ac:dyDescent="0.25">
      <c r="A330" s="61" t="s">
        <v>31</v>
      </c>
      <c r="B330" s="62">
        <v>6.8</v>
      </c>
    </row>
    <row r="331" spans="1:2" x14ac:dyDescent="0.25">
      <c r="A331" s="58" t="s">
        <v>31</v>
      </c>
      <c r="B331" s="59">
        <v>4.0999999999999996</v>
      </c>
    </row>
    <row r="332" spans="1:2" x14ac:dyDescent="0.25">
      <c r="A332" s="61" t="s">
        <v>32</v>
      </c>
      <c r="B332" s="62">
        <v>8.6999999999999993</v>
      </c>
    </row>
    <row r="333" spans="1:2" x14ac:dyDescent="0.25">
      <c r="A333" s="58" t="s">
        <v>31</v>
      </c>
      <c r="B333" s="59">
        <v>4.7</v>
      </c>
    </row>
    <row r="334" spans="1:2" x14ac:dyDescent="0.25">
      <c r="A334" s="61" t="s">
        <v>31</v>
      </c>
      <c r="B334" s="62">
        <v>5.4</v>
      </c>
    </row>
    <row r="335" spans="1:2" x14ac:dyDescent="0.25">
      <c r="A335" s="58" t="s">
        <v>32</v>
      </c>
      <c r="B335" s="59">
        <v>8.9</v>
      </c>
    </row>
    <row r="336" spans="1:2" x14ac:dyDescent="0.25">
      <c r="A336" s="61" t="s">
        <v>31</v>
      </c>
      <c r="B336" s="62">
        <v>5.0999999999999996</v>
      </c>
    </row>
    <row r="337" spans="1:2" x14ac:dyDescent="0.25">
      <c r="A337" s="58" t="s">
        <v>31</v>
      </c>
      <c r="B337" s="59">
        <v>5.0999999999999996</v>
      </c>
    </row>
    <row r="338" spans="1:2" x14ac:dyDescent="0.25">
      <c r="A338" s="61" t="s">
        <v>31</v>
      </c>
      <c r="B338" s="62">
        <v>5.8</v>
      </c>
    </row>
    <row r="339" spans="1:2" x14ac:dyDescent="0.25">
      <c r="A339" s="58" t="s">
        <v>31</v>
      </c>
      <c r="B339" s="59">
        <v>5.7</v>
      </c>
    </row>
    <row r="340" spans="1:2" x14ac:dyDescent="0.25">
      <c r="A340" s="58" t="s">
        <v>32</v>
      </c>
      <c r="B340" s="59">
        <v>8.9</v>
      </c>
    </row>
    <row r="341" spans="1:2" x14ac:dyDescent="0.25">
      <c r="A341" s="58" t="s">
        <v>117</v>
      </c>
      <c r="B341" s="59">
        <v>5.6</v>
      </c>
    </row>
    <row r="342" spans="1:2" x14ac:dyDescent="0.25">
      <c r="A342" s="61" t="s">
        <v>117</v>
      </c>
      <c r="B342" s="62">
        <v>4.8</v>
      </c>
    </row>
    <row r="343" spans="1:2" x14ac:dyDescent="0.25">
      <c r="A343" s="58" t="s">
        <v>32</v>
      </c>
      <c r="B343" s="59">
        <v>9</v>
      </c>
    </row>
    <row r="344" spans="1:2" x14ac:dyDescent="0.25">
      <c r="A344" s="61" t="s">
        <v>117</v>
      </c>
      <c r="B344" s="62">
        <v>5.7</v>
      </c>
    </row>
    <row r="345" spans="1:2" x14ac:dyDescent="0.25">
      <c r="A345" s="58" t="s">
        <v>117</v>
      </c>
      <c r="B345" s="59">
        <v>5.2</v>
      </c>
    </row>
    <row r="346" spans="1:2" x14ac:dyDescent="0.25">
      <c r="A346" s="61" t="s">
        <v>117</v>
      </c>
      <c r="B346" s="62">
        <v>6.5</v>
      </c>
    </row>
    <row r="347" spans="1:2" x14ac:dyDescent="0.25">
      <c r="A347" s="58" t="s">
        <v>31</v>
      </c>
      <c r="B347" s="59">
        <v>4.9000000000000004</v>
      </c>
    </row>
    <row r="348" spans="1:2" x14ac:dyDescent="0.25">
      <c r="A348" s="61" t="s">
        <v>32</v>
      </c>
      <c r="B348" s="62">
        <v>9</v>
      </c>
    </row>
    <row r="349" spans="1:2" x14ac:dyDescent="0.25">
      <c r="A349" s="58" t="s">
        <v>32</v>
      </c>
      <c r="B349" s="59">
        <v>9.1</v>
      </c>
    </row>
    <row r="350" spans="1:2" x14ac:dyDescent="0.25">
      <c r="A350" s="61" t="s">
        <v>117</v>
      </c>
      <c r="B350" s="62">
        <v>5.5</v>
      </c>
    </row>
    <row r="351" spans="1:2" x14ac:dyDescent="0.25">
      <c r="A351" s="58" t="s">
        <v>32</v>
      </c>
      <c r="B351" s="59">
        <v>9.3000000000000007</v>
      </c>
    </row>
    <row r="352" spans="1:2" x14ac:dyDescent="0.25">
      <c r="A352" s="61" t="s">
        <v>117</v>
      </c>
      <c r="B352" s="62">
        <v>4.2</v>
      </c>
    </row>
    <row r="353" spans="1:2" x14ac:dyDescent="0.25">
      <c r="A353" s="61" t="s">
        <v>32</v>
      </c>
      <c r="B353" s="62">
        <v>9.3000000000000007</v>
      </c>
    </row>
    <row r="354" spans="1:2" x14ac:dyDescent="0.25">
      <c r="A354" s="61" t="s">
        <v>31</v>
      </c>
      <c r="B354" s="62">
        <v>5.7</v>
      </c>
    </row>
    <row r="355" spans="1:2" x14ac:dyDescent="0.25">
      <c r="A355" s="58" t="s">
        <v>31</v>
      </c>
      <c r="B355" s="59">
        <v>5</v>
      </c>
    </row>
    <row r="356" spans="1:2" x14ac:dyDescent="0.25">
      <c r="A356" s="61" t="s">
        <v>32</v>
      </c>
      <c r="B356" s="62">
        <v>9.4</v>
      </c>
    </row>
    <row r="357" spans="1:2" x14ac:dyDescent="0.25">
      <c r="A357" s="61" t="s">
        <v>32</v>
      </c>
      <c r="B357" s="62">
        <v>9.4</v>
      </c>
    </row>
    <row r="358" spans="1:2" x14ac:dyDescent="0.25">
      <c r="A358" s="61" t="s">
        <v>117</v>
      </c>
      <c r="B358" s="62">
        <v>4.5999999999999996</v>
      </c>
    </row>
    <row r="359" spans="1:2" x14ac:dyDescent="0.25">
      <c r="A359" s="58" t="s">
        <v>31</v>
      </c>
      <c r="B359" s="59">
        <v>5.0999999999999996</v>
      </c>
    </row>
    <row r="360" spans="1:2" x14ac:dyDescent="0.25">
      <c r="A360" s="61" t="s">
        <v>117</v>
      </c>
      <c r="B360" s="62">
        <v>5</v>
      </c>
    </row>
    <row r="361" spans="1:2" x14ac:dyDescent="0.25">
      <c r="A361" s="58" t="s">
        <v>31</v>
      </c>
      <c r="B361" s="59">
        <v>5.4</v>
      </c>
    </row>
    <row r="362" spans="1:2" x14ac:dyDescent="0.25">
      <c r="A362" s="61" t="s">
        <v>117</v>
      </c>
      <c r="B362" s="62">
        <v>6.5</v>
      </c>
    </row>
    <row r="363" spans="1:2" x14ac:dyDescent="0.25">
      <c r="A363" s="58" t="s">
        <v>117</v>
      </c>
      <c r="B363" s="59">
        <v>4.3</v>
      </c>
    </row>
    <row r="364" spans="1:2" x14ac:dyDescent="0.25">
      <c r="A364" s="61" t="s">
        <v>32</v>
      </c>
      <c r="B364" s="62">
        <v>9.5</v>
      </c>
    </row>
    <row r="365" spans="1:2" x14ac:dyDescent="0.25">
      <c r="A365" s="58" t="s">
        <v>117</v>
      </c>
      <c r="B365" s="59">
        <v>5</v>
      </c>
    </row>
    <row r="366" spans="1:2" x14ac:dyDescent="0.25">
      <c r="A366" s="61" t="s">
        <v>32</v>
      </c>
      <c r="B366" s="62">
        <v>9.5</v>
      </c>
    </row>
    <row r="367" spans="1:2" x14ac:dyDescent="0.25">
      <c r="A367" s="58" t="s">
        <v>31</v>
      </c>
      <c r="B367" s="59">
        <v>4.8</v>
      </c>
    </row>
    <row r="368" spans="1:2" x14ac:dyDescent="0.25">
      <c r="A368" s="61" t="s">
        <v>31</v>
      </c>
      <c r="B368" s="62">
        <v>4.2</v>
      </c>
    </row>
    <row r="369" spans="1:2" x14ac:dyDescent="0.25">
      <c r="A369" s="58" t="s">
        <v>31</v>
      </c>
      <c r="B369" s="59">
        <v>5.6</v>
      </c>
    </row>
    <row r="370" spans="1:2" x14ac:dyDescent="0.25">
      <c r="A370" s="61" t="s">
        <v>117</v>
      </c>
      <c r="B370" s="62">
        <v>6.6</v>
      </c>
    </row>
    <row r="371" spans="1:2" x14ac:dyDescent="0.25">
      <c r="A371" s="58" t="s">
        <v>117</v>
      </c>
      <c r="B371" s="59">
        <v>6.6</v>
      </c>
    </row>
    <row r="372" spans="1:2" x14ac:dyDescent="0.25">
      <c r="A372" s="58" t="s">
        <v>32</v>
      </c>
      <c r="B372" s="59">
        <v>9.5</v>
      </c>
    </row>
    <row r="373" spans="1:2" x14ac:dyDescent="0.25">
      <c r="A373" s="58" t="s">
        <v>31</v>
      </c>
      <c r="B373" s="59">
        <v>6.8</v>
      </c>
    </row>
    <row r="374" spans="1:2" x14ac:dyDescent="0.25">
      <c r="A374" s="61" t="s">
        <v>32</v>
      </c>
      <c r="B374" s="62">
        <v>9.5</v>
      </c>
    </row>
    <row r="375" spans="1:2" x14ac:dyDescent="0.25">
      <c r="A375" s="58" t="s">
        <v>117</v>
      </c>
      <c r="B375" s="59">
        <v>6.4</v>
      </c>
    </row>
    <row r="376" spans="1:2" x14ac:dyDescent="0.25">
      <c r="A376" s="61" t="s">
        <v>117</v>
      </c>
      <c r="B376" s="62">
        <v>5.4</v>
      </c>
    </row>
    <row r="377" spans="1:2" x14ac:dyDescent="0.25">
      <c r="A377" s="58" t="s">
        <v>117</v>
      </c>
      <c r="B377" s="59">
        <v>6.5</v>
      </c>
    </row>
    <row r="378" spans="1:2" x14ac:dyDescent="0.25">
      <c r="A378" s="61" t="s">
        <v>32</v>
      </c>
      <c r="B378" s="62">
        <v>9.6</v>
      </c>
    </row>
    <row r="379" spans="1:2" x14ac:dyDescent="0.25">
      <c r="A379" s="58" t="s">
        <v>32</v>
      </c>
      <c r="B379" s="59">
        <v>9.6999999999999993</v>
      </c>
    </row>
    <row r="380" spans="1:2" x14ac:dyDescent="0.25">
      <c r="A380" s="58" t="s">
        <v>32</v>
      </c>
      <c r="B380" s="59">
        <v>9.8000000000000007</v>
      </c>
    </row>
    <row r="381" spans="1:2" x14ac:dyDescent="0.25">
      <c r="A381" s="58" t="s">
        <v>117</v>
      </c>
      <c r="B381" s="59">
        <v>7</v>
      </c>
    </row>
    <row r="382" spans="1:2" x14ac:dyDescent="0.25">
      <c r="A382" s="58" t="s">
        <v>32</v>
      </c>
      <c r="B382" s="59">
        <v>9.9</v>
      </c>
    </row>
    <row r="383" spans="1:2" x14ac:dyDescent="0.25">
      <c r="A383" s="58" t="s">
        <v>31</v>
      </c>
      <c r="B383" s="59">
        <v>6.8</v>
      </c>
    </row>
    <row r="384" spans="1:2" x14ac:dyDescent="0.25">
      <c r="A384" s="61" t="s">
        <v>31</v>
      </c>
      <c r="B384" s="62">
        <v>4.2</v>
      </c>
    </row>
    <row r="385" spans="1:6" x14ac:dyDescent="0.25">
      <c r="A385" s="58" t="s">
        <v>31</v>
      </c>
      <c r="B385" s="59">
        <v>4.4000000000000004</v>
      </c>
    </row>
    <row r="386" spans="1:6" x14ac:dyDescent="0.25">
      <c r="A386" s="58" t="s">
        <v>32</v>
      </c>
      <c r="B386" s="59">
        <v>10</v>
      </c>
    </row>
    <row r="387" spans="1:6" x14ac:dyDescent="0.25">
      <c r="A387" s="58" t="s">
        <v>31</v>
      </c>
      <c r="B387" s="59">
        <v>5.3</v>
      </c>
    </row>
    <row r="388" spans="1:6" x14ac:dyDescent="0.25">
      <c r="A388" s="61" t="s">
        <v>31</v>
      </c>
      <c r="B388" s="62">
        <v>6.5</v>
      </c>
    </row>
    <row r="389" spans="1:6" x14ac:dyDescent="0.25">
      <c r="A389" s="58" t="s">
        <v>117</v>
      </c>
      <c r="B389" s="59">
        <v>6.6</v>
      </c>
    </row>
    <row r="390" spans="1:6" x14ac:dyDescent="0.25">
      <c r="A390" s="61" t="s">
        <v>117</v>
      </c>
      <c r="B390" s="62">
        <v>6.8</v>
      </c>
    </row>
    <row r="391" spans="1:6" x14ac:dyDescent="0.25">
      <c r="A391" s="58" t="s">
        <v>117</v>
      </c>
      <c r="B391" s="59">
        <v>6.6</v>
      </c>
    </row>
    <row r="392" spans="1:6" x14ac:dyDescent="0.25">
      <c r="A392" s="69" t="s">
        <v>117</v>
      </c>
      <c r="B392" s="69">
        <v>4.9000000000000004</v>
      </c>
    </row>
    <row r="398" spans="1:6" x14ac:dyDescent="0.25">
      <c r="A398" s="7" t="s">
        <v>339</v>
      </c>
      <c r="B398" s="8"/>
      <c r="C398" s="8"/>
      <c r="D398" s="8"/>
      <c r="E398" s="8"/>
      <c r="F398" s="9"/>
    </row>
    <row r="399" spans="1:6" x14ac:dyDescent="0.25">
      <c r="A399" s="27" t="s">
        <v>134</v>
      </c>
      <c r="B399" s="14"/>
      <c r="C399" s="14"/>
      <c r="D399" s="14"/>
      <c r="E399" s="14"/>
      <c r="F399" s="15"/>
    </row>
    <row r="401" spans="1:4" x14ac:dyDescent="0.25">
      <c r="A401" s="64" t="s">
        <v>133</v>
      </c>
      <c r="B401" s="66"/>
    </row>
    <row r="402" spans="1:4" x14ac:dyDescent="0.25">
      <c r="A402" s="69" t="s">
        <v>41</v>
      </c>
      <c r="B402" s="67">
        <v>0.46455983312744287</v>
      </c>
    </row>
    <row r="403" spans="1:4" x14ac:dyDescent="0.25">
      <c r="A403" s="69" t="s">
        <v>50</v>
      </c>
      <c r="B403" s="67">
        <v>0.19478928289353775</v>
      </c>
    </row>
    <row r="404" spans="1:4" x14ac:dyDescent="0.25">
      <c r="A404" s="69" t="s">
        <v>51</v>
      </c>
      <c r="B404" s="67">
        <v>0.15438749265882257</v>
      </c>
    </row>
    <row r="405" spans="1:4" x14ac:dyDescent="0.25">
      <c r="A405" s="69" t="s">
        <v>52</v>
      </c>
      <c r="B405" s="67">
        <v>4.0371412948824396E-2</v>
      </c>
    </row>
    <row r="406" spans="1:4" x14ac:dyDescent="0.25">
      <c r="A406" s="70" t="s">
        <v>44</v>
      </c>
      <c r="B406" s="29">
        <v>65487</v>
      </c>
    </row>
    <row r="407" spans="1:4" x14ac:dyDescent="0.25">
      <c r="A407" s="70" t="s">
        <v>45</v>
      </c>
      <c r="B407" s="29">
        <v>75894</v>
      </c>
    </row>
    <row r="408" spans="1:4" x14ac:dyDescent="0.25">
      <c r="A408" s="70" t="s">
        <v>46</v>
      </c>
      <c r="B408" s="29">
        <v>65007</v>
      </c>
    </row>
    <row r="410" spans="1:4" x14ac:dyDescent="0.25">
      <c r="A410" s="3" t="s">
        <v>54</v>
      </c>
      <c r="B410" s="31">
        <f t="array" ref="B410">SUM(B406:B408)-SUM(ROUND(TRANSPOSE(B406:B408)*B402:B405,2))</f>
        <v>30110.360000000015</v>
      </c>
      <c r="D410" t="s">
        <v>135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Y425"/>
  <sheetViews>
    <sheetView tabSelected="1" topLeftCell="A178" zoomScaleNormal="100" workbookViewId="0">
      <selection activeCell="F196" sqref="F196"/>
    </sheetView>
  </sheetViews>
  <sheetFormatPr defaultRowHeight="15" x14ac:dyDescent="0.25"/>
  <cols>
    <col min="1" max="1" width="16.7109375" customWidth="1"/>
    <col min="2" max="2" width="16" customWidth="1"/>
    <col min="3" max="3" width="19.42578125" customWidth="1"/>
    <col min="4" max="4" width="14.5703125" customWidth="1"/>
    <col min="5" max="5" width="13.140625" customWidth="1"/>
    <col min="6" max="6" width="14.140625" customWidth="1"/>
    <col min="7" max="8" width="13.140625" customWidth="1"/>
    <col min="9" max="9" width="17.140625" customWidth="1"/>
  </cols>
  <sheetData>
    <row r="1" spans="1:25" x14ac:dyDescent="0.25">
      <c r="A1" s="7" t="s">
        <v>316</v>
      </c>
      <c r="B1" s="8"/>
      <c r="C1" s="8"/>
      <c r="D1" s="8"/>
      <c r="E1" s="9"/>
      <c r="G1" t="s">
        <v>298</v>
      </c>
    </row>
    <row r="2" spans="1:25" x14ac:dyDescent="0.25">
      <c r="A2" s="27" t="s">
        <v>63</v>
      </c>
      <c r="B2" s="14"/>
      <c r="C2" s="14"/>
      <c r="D2" s="14"/>
      <c r="E2" s="15"/>
      <c r="G2" t="s">
        <v>299</v>
      </c>
    </row>
    <row r="3" spans="1:25" x14ac:dyDescent="0.25">
      <c r="A3" s="1" t="s">
        <v>43</v>
      </c>
      <c r="B3" s="28" t="s">
        <v>44</v>
      </c>
      <c r="C3" s="28" t="s">
        <v>45</v>
      </c>
      <c r="D3" s="28" t="s">
        <v>46</v>
      </c>
      <c r="E3" s="28" t="s">
        <v>97</v>
      </c>
      <c r="G3" s="100" t="s">
        <v>300</v>
      </c>
    </row>
    <row r="4" spans="1:25" x14ac:dyDescent="0.25">
      <c r="A4" s="1" t="s">
        <v>49</v>
      </c>
      <c r="B4" s="29">
        <v>65487</v>
      </c>
      <c r="C4" s="29">
        <v>75894</v>
      </c>
      <c r="D4" s="29">
        <v>65007</v>
      </c>
      <c r="E4" s="29">
        <f t="shared" ref="E4:E9" si="0">SUM(B4:D4)</f>
        <v>206388</v>
      </c>
      <c r="G4" t="s">
        <v>301</v>
      </c>
    </row>
    <row r="5" spans="1:25" x14ac:dyDescent="0.25">
      <c r="A5" s="30" t="s">
        <v>41</v>
      </c>
      <c r="B5" s="31">
        <f t="shared" ref="B5:D8" si="1">ROUND(B$4*$B13,2)</f>
        <v>30422.63</v>
      </c>
      <c r="C5" s="31">
        <f t="shared" si="1"/>
        <v>35257.300000000003</v>
      </c>
      <c r="D5" s="31">
        <f t="shared" si="1"/>
        <v>30199.64</v>
      </c>
      <c r="E5" s="31">
        <f t="shared" si="0"/>
        <v>95879.57</v>
      </c>
      <c r="G5" s="100" t="s">
        <v>302</v>
      </c>
    </row>
    <row r="6" spans="1:25" x14ac:dyDescent="0.25">
      <c r="A6" s="30" t="s">
        <v>50</v>
      </c>
      <c r="B6" s="31">
        <f t="shared" si="1"/>
        <v>12756.17</v>
      </c>
      <c r="C6" s="31">
        <f t="shared" si="1"/>
        <v>14783.34</v>
      </c>
      <c r="D6" s="31">
        <f t="shared" si="1"/>
        <v>12662.67</v>
      </c>
      <c r="E6" s="31">
        <f t="shared" si="0"/>
        <v>40202.18</v>
      </c>
      <c r="G6" t="s">
        <v>42</v>
      </c>
    </row>
    <row r="7" spans="1:25" x14ac:dyDescent="0.25">
      <c r="A7" s="30" t="s">
        <v>51</v>
      </c>
      <c r="B7" s="31">
        <f t="shared" si="1"/>
        <v>10110.370000000001</v>
      </c>
      <c r="C7" s="31">
        <f t="shared" si="1"/>
        <v>11717.08</v>
      </c>
      <c r="D7" s="31">
        <f t="shared" si="1"/>
        <v>10036.27</v>
      </c>
      <c r="E7" s="31">
        <f t="shared" si="0"/>
        <v>31863.72</v>
      </c>
      <c r="G7" t="s">
        <v>323</v>
      </c>
    </row>
    <row r="8" spans="1:25" x14ac:dyDescent="0.25">
      <c r="A8" s="30" t="s">
        <v>52</v>
      </c>
      <c r="B8" s="31">
        <f t="shared" si="1"/>
        <v>2643.8</v>
      </c>
      <c r="C8" s="31">
        <f t="shared" si="1"/>
        <v>3063.95</v>
      </c>
      <c r="D8" s="31">
        <f t="shared" si="1"/>
        <v>2624.42</v>
      </c>
      <c r="E8" s="31">
        <f t="shared" si="0"/>
        <v>8332.17</v>
      </c>
      <c r="H8" t="s">
        <v>324</v>
      </c>
    </row>
    <row r="9" spans="1:25" ht="15.75" thickBot="1" x14ac:dyDescent="0.3">
      <c r="A9" s="1" t="s">
        <v>53</v>
      </c>
      <c r="B9" s="32">
        <f>SUM(B5:B8)</f>
        <v>55932.970000000008</v>
      </c>
      <c r="C9" s="33">
        <f>SUM(C5:C8)</f>
        <v>64821.67</v>
      </c>
      <c r="D9" s="33">
        <f>SUM(D5:D8)</f>
        <v>55523</v>
      </c>
      <c r="E9" s="33">
        <f t="shared" si="0"/>
        <v>176277.64</v>
      </c>
      <c r="H9" s="105" t="s">
        <v>326</v>
      </c>
      <c r="Y9" t="s">
        <v>320</v>
      </c>
    </row>
    <row r="10" spans="1:25" ht="15.75" thickBot="1" x14ac:dyDescent="0.3">
      <c r="A10" s="1" t="s">
        <v>54</v>
      </c>
      <c r="B10" s="37">
        <f>B4-B9</f>
        <v>9554.0299999999916</v>
      </c>
      <c r="C10" s="38">
        <f>C4-C9</f>
        <v>11072.330000000002</v>
      </c>
      <c r="D10" s="38">
        <f>D4-D9</f>
        <v>9484</v>
      </c>
      <c r="E10" s="38">
        <f>E4-E9</f>
        <v>30110.359999999986</v>
      </c>
      <c r="H10" s="105" t="s">
        <v>327</v>
      </c>
      <c r="Y10" s="103" t="s">
        <v>65</v>
      </c>
    </row>
    <row r="11" spans="1:25" ht="15.75" thickTop="1" x14ac:dyDescent="0.25">
      <c r="H11" s="99" t="s">
        <v>304</v>
      </c>
      <c r="Y11" s="103" t="s">
        <v>66</v>
      </c>
    </row>
    <row r="12" spans="1:25" x14ac:dyDescent="0.25">
      <c r="A12" s="34" t="s">
        <v>56</v>
      </c>
      <c r="B12" s="35"/>
      <c r="H12" s="99" t="s">
        <v>305</v>
      </c>
      <c r="Y12" s="102" t="s">
        <v>304</v>
      </c>
    </row>
    <row r="13" spans="1:25" x14ac:dyDescent="0.25">
      <c r="A13" s="3" t="s">
        <v>41</v>
      </c>
      <c r="B13" s="36">
        <v>0.46455983312744287</v>
      </c>
      <c r="H13" s="99" t="s">
        <v>306</v>
      </c>
      <c r="Y13" s="102" t="s">
        <v>305</v>
      </c>
    </row>
    <row r="14" spans="1:25" x14ac:dyDescent="0.25">
      <c r="A14" s="3" t="s">
        <v>50</v>
      </c>
      <c r="B14" s="36">
        <v>0.19478928289353775</v>
      </c>
      <c r="H14" t="s">
        <v>328</v>
      </c>
      <c r="Y14" s="102" t="s">
        <v>306</v>
      </c>
    </row>
    <row r="15" spans="1:25" x14ac:dyDescent="0.25">
      <c r="A15" s="3" t="s">
        <v>51</v>
      </c>
      <c r="B15" s="36">
        <v>0.15438749265882257</v>
      </c>
      <c r="Y15" s="6" t="s">
        <v>319</v>
      </c>
    </row>
    <row r="16" spans="1:25" x14ac:dyDescent="0.25">
      <c r="A16" s="3" t="s">
        <v>52</v>
      </c>
      <c r="B16" s="36">
        <v>4.0371412948824396E-2</v>
      </c>
      <c r="Y16" s="102" t="s">
        <v>321</v>
      </c>
    </row>
    <row r="17" spans="1:25" x14ac:dyDescent="0.25">
      <c r="Y17" s="102" t="s">
        <v>322</v>
      </c>
    </row>
    <row r="18" spans="1:25" x14ac:dyDescent="0.25">
      <c r="A18" s="3" t="s">
        <v>94</v>
      </c>
      <c r="B18" s="31">
        <f>B4*B13</f>
        <v>30422.629792016851</v>
      </c>
      <c r="D18" t="s">
        <v>310</v>
      </c>
    </row>
    <row r="20" spans="1:25" x14ac:dyDescent="0.25">
      <c r="A20" s="7" t="s">
        <v>55</v>
      </c>
      <c r="B20" s="8"/>
      <c r="C20" s="8"/>
      <c r="D20" s="8"/>
      <c r="E20" s="8"/>
      <c r="F20" s="9"/>
    </row>
    <row r="21" spans="1:25" x14ac:dyDescent="0.25">
      <c r="A21" s="27" t="s">
        <v>57</v>
      </c>
      <c r="B21" s="14"/>
      <c r="C21" s="14"/>
      <c r="D21" s="14"/>
      <c r="E21" s="14"/>
      <c r="F21" s="15"/>
    </row>
    <row r="22" spans="1:25" x14ac:dyDescent="0.25">
      <c r="A22" s="1" t="s">
        <v>43</v>
      </c>
      <c r="B22" s="28" t="s">
        <v>44</v>
      </c>
      <c r="C22" s="28" t="s">
        <v>45</v>
      </c>
      <c r="D22" s="28" t="s">
        <v>46</v>
      </c>
    </row>
    <row r="23" spans="1:25" x14ac:dyDescent="0.25">
      <c r="A23" s="1" t="s">
        <v>49</v>
      </c>
      <c r="B23" s="29">
        <v>65487</v>
      </c>
      <c r="C23" s="29">
        <v>75894</v>
      </c>
      <c r="D23" s="29">
        <v>65007</v>
      </c>
      <c r="F23" t="s">
        <v>329</v>
      </c>
    </row>
    <row r="24" spans="1:25" x14ac:dyDescent="0.25">
      <c r="A24" s="1" t="s">
        <v>53</v>
      </c>
      <c r="B24" s="31">
        <f t="array" ref="B24">SUM(ROUND(B4*$B$13:$B$16,2))</f>
        <v>55932.970000000008</v>
      </c>
      <c r="C24" s="31">
        <f t="array" ref="C24">SUM(ROUND(C4*$B$13:$B$16,2))</f>
        <v>64821.67</v>
      </c>
      <c r="D24" s="31">
        <f t="array" ref="D24">SUM(ROUND(D4*$B$13:$B$16,2))</f>
        <v>55523</v>
      </c>
      <c r="F24" t="s">
        <v>95</v>
      </c>
      <c r="N24" t="str">
        <f ca="1">IF(_xlfn.ISFORMULA(B24),_xlfn.FORMULATEXT(B24),"")</f>
        <v>{=SUM(ROUND(B4*$B$13:$B$16,2))}</v>
      </c>
    </row>
    <row r="25" spans="1:25" x14ac:dyDescent="0.25">
      <c r="A25" s="1" t="s">
        <v>53</v>
      </c>
      <c r="B25" s="31">
        <f>SUMPRODUCT(ROUND(B4*$B$13:$B$16,2))</f>
        <v>55932.970000000008</v>
      </c>
      <c r="C25" s="31">
        <f t="shared" ref="C25:D25" si="2">SUMPRODUCT(ROUND(C4*$B$13:$B$16,2))</f>
        <v>64821.67</v>
      </c>
      <c r="D25" s="31">
        <f t="shared" si="2"/>
        <v>55523</v>
      </c>
      <c r="F25" t="s">
        <v>119</v>
      </c>
      <c r="N25" t="str">
        <f ca="1">IF(_xlfn.ISFORMULA(B25),_xlfn.FORMULATEXT(B25),"")</f>
        <v>=SUMPRODUCT(ROUND(B4*$B$13:$B$16,2))</v>
      </c>
    </row>
    <row r="26" spans="1:25" x14ac:dyDescent="0.25">
      <c r="F26" t="s">
        <v>79</v>
      </c>
    </row>
    <row r="27" spans="1:25" x14ac:dyDescent="0.25">
      <c r="A27" s="7" t="s">
        <v>58</v>
      </c>
      <c r="B27" s="8"/>
      <c r="C27" s="8"/>
      <c r="D27" s="9"/>
      <c r="F27" t="s">
        <v>111</v>
      </c>
    </row>
    <row r="28" spans="1:25" x14ac:dyDescent="0.25">
      <c r="A28" s="27" t="s">
        <v>96</v>
      </c>
      <c r="B28" s="14"/>
      <c r="C28" s="14"/>
      <c r="D28" s="15"/>
      <c r="F28" t="s">
        <v>110</v>
      </c>
    </row>
    <row r="29" spans="1:25" x14ac:dyDescent="0.25">
      <c r="F29" s="4" t="s">
        <v>59</v>
      </c>
    </row>
    <row r="30" spans="1:25" x14ac:dyDescent="0.25">
      <c r="A30" s="3" t="s">
        <v>53</v>
      </c>
      <c r="B30" s="31">
        <f>SUMPRODUCT(ROUND(B23:D23*B13:B16,2))</f>
        <v>176277.63999999998</v>
      </c>
      <c r="D30" t="s">
        <v>121</v>
      </c>
      <c r="F30" t="s">
        <v>62</v>
      </c>
    </row>
    <row r="31" spans="1:25" x14ac:dyDescent="0.25">
      <c r="F31" t="s">
        <v>60</v>
      </c>
    </row>
    <row r="32" spans="1:25" x14ac:dyDescent="0.25">
      <c r="A32" s="7" t="s">
        <v>80</v>
      </c>
      <c r="B32" s="8"/>
      <c r="C32" s="8"/>
      <c r="D32" s="9"/>
    </row>
    <row r="33" spans="1:7" x14ac:dyDescent="0.25">
      <c r="A33" s="27" t="s">
        <v>98</v>
      </c>
      <c r="B33" s="14"/>
      <c r="C33" s="14"/>
      <c r="D33" s="15"/>
    </row>
    <row r="35" spans="1:7" x14ac:dyDescent="0.25">
      <c r="A35" s="3" t="s">
        <v>54</v>
      </c>
      <c r="B35" s="31">
        <f>SUM(B23:D23)-SUMPRODUCT(ROUND(B23:D23*B13:B16,2))</f>
        <v>30110.360000000015</v>
      </c>
      <c r="D35" t="s">
        <v>119</v>
      </c>
    </row>
    <row r="37" spans="1:7" x14ac:dyDescent="0.25">
      <c r="A37" s="7" t="s">
        <v>330</v>
      </c>
      <c r="B37" s="8"/>
      <c r="C37" s="8"/>
      <c r="D37" s="8"/>
      <c r="E37" s="8"/>
      <c r="F37" s="9"/>
    </row>
    <row r="38" spans="1:7" x14ac:dyDescent="0.25">
      <c r="A38" s="27" t="s">
        <v>309</v>
      </c>
      <c r="B38" s="14"/>
      <c r="C38" s="14"/>
      <c r="D38" s="14"/>
      <c r="E38" s="14"/>
      <c r="F38" s="15"/>
    </row>
    <row r="40" spans="1:7" x14ac:dyDescent="0.25">
      <c r="A40" s="1" t="s">
        <v>312</v>
      </c>
      <c r="B40" s="104">
        <v>1</v>
      </c>
      <c r="C40" s="104">
        <v>5</v>
      </c>
      <c r="D40" s="104">
        <v>10</v>
      </c>
      <c r="E40" s="104">
        <v>20</v>
      </c>
      <c r="F40" s="104">
        <v>100</v>
      </c>
    </row>
    <row r="41" spans="1:7" x14ac:dyDescent="0.25">
      <c r="A41" s="1" t="s">
        <v>308</v>
      </c>
      <c r="B41" s="3">
        <v>16</v>
      </c>
      <c r="C41" s="3">
        <v>5</v>
      </c>
      <c r="D41" s="3">
        <v>22</v>
      </c>
      <c r="E41" s="3">
        <v>43</v>
      </c>
      <c r="F41" s="3">
        <v>5</v>
      </c>
    </row>
    <row r="43" spans="1:7" x14ac:dyDescent="0.25">
      <c r="A43" s="1" t="s">
        <v>317</v>
      </c>
      <c r="B43" s="106">
        <f>B40*B41+C40*C41+D40*D41+E40*E41+F40*F41</f>
        <v>1621</v>
      </c>
      <c r="D43" t="str">
        <f t="shared" ref="D43:D46" ca="1" si="3">IF(_xlfn.ISFORMULA(B43),_xlfn.FORMULATEXT(B43),"")</f>
        <v>=B40*B41+C40*C41+D40*D41+E40*E41+F40*F41</v>
      </c>
    </row>
    <row r="44" spans="1:7" x14ac:dyDescent="0.25">
      <c r="A44" s="1" t="s">
        <v>317</v>
      </c>
      <c r="B44" s="18">
        <f>SUMPRODUCT(B40:F40,B41:F41)</f>
        <v>1621</v>
      </c>
      <c r="D44" t="str">
        <f t="shared" ca="1" si="3"/>
        <v>=SUMPRODUCT(B40:F40,B41:F41)</v>
      </c>
      <c r="G44" t="s">
        <v>318</v>
      </c>
    </row>
    <row r="45" spans="1:7" x14ac:dyDescent="0.25">
      <c r="A45" s="1" t="s">
        <v>317</v>
      </c>
      <c r="B45" s="18" t="e">
        <f t="array" ref="B45">SUMPRODUCT(B40:E40,B41:F41)</f>
        <v>#VALUE!</v>
      </c>
      <c r="D45" t="str">
        <f t="shared" ca="1" si="3"/>
        <v>{=SUMPRODUCT(B40:E40,B41:F41)}</v>
      </c>
    </row>
    <row r="46" spans="1:7" x14ac:dyDescent="0.25">
      <c r="A46" s="1" t="s">
        <v>317</v>
      </c>
      <c r="B46" s="18"/>
      <c r="D46" t="str">
        <f t="shared" ca="1" si="3"/>
        <v/>
      </c>
    </row>
    <row r="48" spans="1:7" x14ac:dyDescent="0.25">
      <c r="A48" s="7" t="s">
        <v>331</v>
      </c>
      <c r="B48" s="8"/>
      <c r="C48" s="8"/>
      <c r="D48" s="8"/>
      <c r="E48" s="8"/>
      <c r="F48" s="9"/>
    </row>
    <row r="49" spans="1:6" x14ac:dyDescent="0.25">
      <c r="A49" s="27" t="s">
        <v>93</v>
      </c>
      <c r="B49" s="14"/>
      <c r="C49" s="14"/>
      <c r="D49" s="14"/>
      <c r="E49" s="14"/>
      <c r="F49" s="15"/>
    </row>
    <row r="51" spans="1:6" x14ac:dyDescent="0.25">
      <c r="A51" s="1" t="s">
        <v>91</v>
      </c>
      <c r="C51" s="1" t="s">
        <v>92</v>
      </c>
      <c r="E51" t="s">
        <v>311</v>
      </c>
    </row>
    <row r="52" spans="1:6" x14ac:dyDescent="0.25">
      <c r="A52" s="31">
        <f>SUM(LARGE(A55:A63,{1,2,3}))</f>
        <v>3357</v>
      </c>
      <c r="C52" s="52">
        <f>SUM(SMALL(C55:C63,{1,2,3}))</f>
        <v>3.23</v>
      </c>
      <c r="E52" t="s">
        <v>120</v>
      </c>
    </row>
    <row r="54" spans="1:6" x14ac:dyDescent="0.25">
      <c r="A54" s="1" t="s">
        <v>40</v>
      </c>
      <c r="C54" s="1" t="s">
        <v>114</v>
      </c>
    </row>
    <row r="55" spans="1:6" x14ac:dyDescent="0.25">
      <c r="A55" s="3">
        <v>1102</v>
      </c>
      <c r="C55" s="3">
        <v>1.18</v>
      </c>
    </row>
    <row r="56" spans="1:6" x14ac:dyDescent="0.25">
      <c r="A56" s="3">
        <v>265</v>
      </c>
      <c r="C56" s="3">
        <v>1.1299999999999999</v>
      </c>
    </row>
    <row r="57" spans="1:6" x14ac:dyDescent="0.25">
      <c r="A57" s="3">
        <v>862</v>
      </c>
      <c r="C57" s="3">
        <v>1.1599999999999999</v>
      </c>
    </row>
    <row r="58" spans="1:6" x14ac:dyDescent="0.25">
      <c r="A58" s="3">
        <v>300</v>
      </c>
      <c r="C58" s="3">
        <v>1.28</v>
      </c>
    </row>
    <row r="59" spans="1:6" x14ac:dyDescent="0.25">
      <c r="A59" s="3">
        <v>1161</v>
      </c>
      <c r="C59" s="3">
        <v>1.2</v>
      </c>
    </row>
    <row r="60" spans="1:6" x14ac:dyDescent="0.25">
      <c r="A60" s="3">
        <v>526</v>
      </c>
      <c r="C60" s="3">
        <v>1.06</v>
      </c>
    </row>
    <row r="61" spans="1:6" x14ac:dyDescent="0.25">
      <c r="A61" s="3">
        <v>1094</v>
      </c>
      <c r="C61" s="3">
        <v>1.3</v>
      </c>
    </row>
    <row r="62" spans="1:6" x14ac:dyDescent="0.25">
      <c r="A62" s="3">
        <v>708</v>
      </c>
      <c r="C62" s="3">
        <v>1.04</v>
      </c>
    </row>
    <row r="63" spans="1:6" x14ac:dyDescent="0.25">
      <c r="A63" s="3">
        <v>1094</v>
      </c>
      <c r="C63" s="3">
        <v>1.17</v>
      </c>
    </row>
    <row r="66" spans="1:10" x14ac:dyDescent="0.25">
      <c r="A66" s="7" t="s">
        <v>307</v>
      </c>
      <c r="B66" s="8"/>
      <c r="C66" s="8"/>
      <c r="D66" s="8"/>
      <c r="E66" s="8"/>
      <c r="F66" s="9"/>
    </row>
    <row r="67" spans="1:10" x14ac:dyDescent="0.25">
      <c r="A67" s="27" t="s">
        <v>113</v>
      </c>
      <c r="B67" s="14"/>
      <c r="C67" s="14"/>
      <c r="D67" s="14"/>
      <c r="E67" s="14"/>
      <c r="F67" s="15"/>
    </row>
    <row r="69" spans="1:10" x14ac:dyDescent="0.25">
      <c r="A69" s="1" t="s">
        <v>105</v>
      </c>
      <c r="B69" s="1" t="s">
        <v>40</v>
      </c>
      <c r="E69" s="1" t="s">
        <v>81</v>
      </c>
      <c r="F69" s="1" t="s">
        <v>82</v>
      </c>
      <c r="G69" s="1" t="s">
        <v>83</v>
      </c>
      <c r="H69" s="1" t="s">
        <v>84</v>
      </c>
    </row>
    <row r="70" spans="1:10" x14ac:dyDescent="0.25">
      <c r="A70" s="3" t="s">
        <v>100</v>
      </c>
      <c r="B70" s="3">
        <v>457</v>
      </c>
      <c r="E70" s="3" t="s">
        <v>85</v>
      </c>
      <c r="F70" s="3" t="s">
        <v>88</v>
      </c>
      <c r="G70" s="3" t="s">
        <v>99</v>
      </c>
      <c r="H70" s="3" t="s">
        <v>102</v>
      </c>
    </row>
    <row r="71" spans="1:10" x14ac:dyDescent="0.25">
      <c r="A71" s="3" t="s">
        <v>85</v>
      </c>
      <c r="B71" s="3">
        <v>368</v>
      </c>
      <c r="E71" s="3" t="s">
        <v>86</v>
      </c>
      <c r="F71" s="3" t="s">
        <v>89</v>
      </c>
      <c r="G71" s="3" t="s">
        <v>100</v>
      </c>
      <c r="H71" s="3" t="s">
        <v>103</v>
      </c>
    </row>
    <row r="72" spans="1:10" x14ac:dyDescent="0.25">
      <c r="A72" s="3" t="s">
        <v>88</v>
      </c>
      <c r="B72" s="3">
        <v>725</v>
      </c>
      <c r="E72" s="3" t="s">
        <v>106</v>
      </c>
      <c r="F72" s="3" t="s">
        <v>107</v>
      </c>
      <c r="G72" s="3" t="s">
        <v>109</v>
      </c>
      <c r="H72" s="3" t="s">
        <v>108</v>
      </c>
    </row>
    <row r="73" spans="1:10" x14ac:dyDescent="0.25">
      <c r="A73" s="3" t="s">
        <v>108</v>
      </c>
      <c r="B73" s="3">
        <v>736</v>
      </c>
      <c r="E73" s="3" t="s">
        <v>87</v>
      </c>
      <c r="F73" s="3" t="s">
        <v>90</v>
      </c>
      <c r="G73" s="3" t="s">
        <v>101</v>
      </c>
      <c r="H73" s="3" t="s">
        <v>104</v>
      </c>
    </row>
    <row r="74" spans="1:10" x14ac:dyDescent="0.25">
      <c r="A74" s="3" t="s">
        <v>87</v>
      </c>
      <c r="B74" s="3">
        <v>606</v>
      </c>
    </row>
    <row r="75" spans="1:10" x14ac:dyDescent="0.25">
      <c r="A75" s="3" t="s">
        <v>89</v>
      </c>
      <c r="B75" s="3">
        <v>1418</v>
      </c>
      <c r="D75" s="1" t="s">
        <v>97</v>
      </c>
      <c r="E75" s="18">
        <f>SUMPRODUCT(SUMIFS($B$70:$B$111,$A$70:$A$111,E70:E73))</f>
        <v>9608</v>
      </c>
      <c r="F75" s="18">
        <f>SUMPRODUCT(SUMIFS($B$70:$B$111,$A$70:$A$111,F70:F73))</f>
        <v>13631</v>
      </c>
      <c r="G75" s="18">
        <f>SUMPRODUCT(SUMIFS($B$70:$B$111,$A$70:$A$111,G70:G73))</f>
        <v>9140</v>
      </c>
      <c r="H75" s="18">
        <f>SUMPRODUCT(SUMIFS($B$70:$B$111,$A$70:$A$111,H70:H73))</f>
        <v>4524</v>
      </c>
      <c r="J75" t="s">
        <v>119</v>
      </c>
    </row>
    <row r="76" spans="1:10" x14ac:dyDescent="0.25">
      <c r="A76" s="3" t="s">
        <v>109</v>
      </c>
      <c r="B76" s="3">
        <v>1110</v>
      </c>
      <c r="D76" s="1" t="s">
        <v>97</v>
      </c>
      <c r="E76" s="18">
        <f>SUMIFS($B$70:$B$111,$A$70:$A$111,E70)+SUMIFS($B$70:$B$111,$A$70:$A$111,E71)+SUMIFS($B$70:$B$111,$A$70:$A$111,E72)+SUMIFS($B$70:$B$111,$A$70:$A$111,E73)</f>
        <v>9608</v>
      </c>
      <c r="F76" s="18">
        <f>SUMIFS($B$70:$B$111,$A$70:$A$111,F70)+SUMIFS($B$70:$B$111,$A$70:$A$111,F71)+SUMIFS($B$70:$B$111,$A$70:$A$111,F72)+SUMIFS($B$70:$B$111,$A$70:$A$111,F73)</f>
        <v>13631</v>
      </c>
      <c r="G76" s="18">
        <f>SUMIFS($B$70:$B$111,$A$70:$A$111,G70)+SUMIFS($B$70:$B$111,$A$70:$A$111,G71)+SUMIFS($B$70:$B$111,$A$70:$A$111,G72)+SUMIFS($B$70:$B$111,$A$70:$A$111,G73)</f>
        <v>9140</v>
      </c>
      <c r="H76" s="18">
        <f>SUMIFS($B$70:$B$111,$A$70:$A$111,H70)+SUMIFS($B$70:$B$111,$A$70:$A$111,H71)+SUMIFS($B$70:$B$111,$A$70:$A$111,H72)+SUMIFS($B$70:$B$111,$A$70:$A$111,H73)</f>
        <v>4524</v>
      </c>
    </row>
    <row r="77" spans="1:10" x14ac:dyDescent="0.25">
      <c r="A77" s="3" t="s">
        <v>107</v>
      </c>
      <c r="B77" s="3">
        <v>1489</v>
      </c>
    </row>
    <row r="78" spans="1:10" x14ac:dyDescent="0.25">
      <c r="A78" s="3" t="s">
        <v>85</v>
      </c>
      <c r="B78" s="3">
        <v>175</v>
      </c>
      <c r="E78" t="s">
        <v>112</v>
      </c>
    </row>
    <row r="79" spans="1:10" x14ac:dyDescent="0.25">
      <c r="A79" s="3" t="s">
        <v>90</v>
      </c>
      <c r="B79" s="3">
        <v>1354</v>
      </c>
      <c r="E79" t="s">
        <v>230</v>
      </c>
    </row>
    <row r="80" spans="1:10" x14ac:dyDescent="0.25">
      <c r="A80" s="3" t="s">
        <v>101</v>
      </c>
      <c r="B80" s="3">
        <v>132</v>
      </c>
      <c r="E80" t="s">
        <v>313</v>
      </c>
    </row>
    <row r="81" spans="1:2" x14ac:dyDescent="0.25">
      <c r="A81" s="3" t="s">
        <v>88</v>
      </c>
      <c r="B81" s="3">
        <v>449</v>
      </c>
    </row>
    <row r="82" spans="1:2" x14ac:dyDescent="0.25">
      <c r="A82" s="3" t="s">
        <v>104</v>
      </c>
      <c r="B82" s="3">
        <v>1333</v>
      </c>
    </row>
    <row r="83" spans="1:2" x14ac:dyDescent="0.25">
      <c r="A83" s="3" t="s">
        <v>107</v>
      </c>
      <c r="B83" s="3">
        <v>1571</v>
      </c>
    </row>
    <row r="84" spans="1:2" x14ac:dyDescent="0.25">
      <c r="A84" s="3" t="s">
        <v>89</v>
      </c>
      <c r="B84" s="3">
        <v>1553</v>
      </c>
    </row>
    <row r="85" spans="1:2" x14ac:dyDescent="0.25">
      <c r="A85" s="3" t="s">
        <v>87</v>
      </c>
      <c r="B85" s="3">
        <v>1196</v>
      </c>
    </row>
    <row r="86" spans="1:2" x14ac:dyDescent="0.25">
      <c r="A86" s="3" t="s">
        <v>85</v>
      </c>
      <c r="B86" s="3">
        <v>679</v>
      </c>
    </row>
    <row r="87" spans="1:2" x14ac:dyDescent="0.25">
      <c r="A87" s="3" t="s">
        <v>101</v>
      </c>
      <c r="B87" s="3">
        <v>221</v>
      </c>
    </row>
    <row r="88" spans="1:2" x14ac:dyDescent="0.25">
      <c r="A88" s="3" t="s">
        <v>101</v>
      </c>
      <c r="B88" s="3">
        <v>1097</v>
      </c>
    </row>
    <row r="89" spans="1:2" x14ac:dyDescent="0.25">
      <c r="A89" s="3" t="s">
        <v>88</v>
      </c>
      <c r="B89" s="3">
        <v>473</v>
      </c>
    </row>
    <row r="90" spans="1:2" x14ac:dyDescent="0.25">
      <c r="A90" s="3" t="s">
        <v>87</v>
      </c>
      <c r="B90" s="3">
        <v>573</v>
      </c>
    </row>
    <row r="91" spans="1:2" x14ac:dyDescent="0.25">
      <c r="A91" s="3" t="s">
        <v>88</v>
      </c>
      <c r="B91" s="3">
        <v>1160</v>
      </c>
    </row>
    <row r="92" spans="1:2" x14ac:dyDescent="0.25">
      <c r="A92" s="3" t="s">
        <v>85</v>
      </c>
      <c r="B92" s="3">
        <v>1268</v>
      </c>
    </row>
    <row r="93" spans="1:2" x14ac:dyDescent="0.25">
      <c r="A93" s="3" t="s">
        <v>107</v>
      </c>
      <c r="B93" s="3">
        <v>1635</v>
      </c>
    </row>
    <row r="94" spans="1:2" x14ac:dyDescent="0.25">
      <c r="A94" s="3" t="s">
        <v>108</v>
      </c>
      <c r="B94" s="3">
        <v>152</v>
      </c>
    </row>
    <row r="95" spans="1:2" x14ac:dyDescent="0.25">
      <c r="A95" s="3" t="s">
        <v>106</v>
      </c>
      <c r="B95" s="3">
        <v>603</v>
      </c>
    </row>
    <row r="96" spans="1:2" x14ac:dyDescent="0.25">
      <c r="A96" s="3" t="s">
        <v>102</v>
      </c>
      <c r="B96" s="3">
        <v>458</v>
      </c>
    </row>
    <row r="97" spans="1:2" x14ac:dyDescent="0.25">
      <c r="A97" s="3" t="s">
        <v>86</v>
      </c>
      <c r="B97" s="3">
        <v>741</v>
      </c>
    </row>
    <row r="98" spans="1:2" x14ac:dyDescent="0.25">
      <c r="A98" s="3" t="s">
        <v>99</v>
      </c>
      <c r="B98" s="3">
        <v>486</v>
      </c>
    </row>
    <row r="99" spans="1:2" x14ac:dyDescent="0.25">
      <c r="A99" s="3" t="s">
        <v>87</v>
      </c>
      <c r="B99" s="3">
        <v>1227</v>
      </c>
    </row>
    <row r="100" spans="1:2" x14ac:dyDescent="0.25">
      <c r="A100" s="3" t="s">
        <v>106</v>
      </c>
      <c r="B100" s="3">
        <v>981</v>
      </c>
    </row>
    <row r="101" spans="1:2" x14ac:dyDescent="0.25">
      <c r="A101" s="3" t="s">
        <v>99</v>
      </c>
      <c r="B101" s="3">
        <v>798</v>
      </c>
    </row>
    <row r="102" spans="1:2" x14ac:dyDescent="0.25">
      <c r="A102" s="3" t="s">
        <v>86</v>
      </c>
      <c r="B102" s="3">
        <v>1191</v>
      </c>
    </row>
    <row r="103" spans="1:2" x14ac:dyDescent="0.25">
      <c r="A103" s="3" t="s">
        <v>88</v>
      </c>
      <c r="B103" s="3">
        <v>363</v>
      </c>
    </row>
    <row r="104" spans="1:2" x14ac:dyDescent="0.25">
      <c r="A104" s="3" t="s">
        <v>109</v>
      </c>
      <c r="B104" s="3">
        <v>1332</v>
      </c>
    </row>
    <row r="105" spans="1:2" x14ac:dyDescent="0.25">
      <c r="A105" s="3" t="s">
        <v>104</v>
      </c>
      <c r="B105" s="3">
        <v>1289</v>
      </c>
    </row>
    <row r="106" spans="1:2" x14ac:dyDescent="0.25">
      <c r="A106" s="3" t="s">
        <v>99</v>
      </c>
      <c r="B106" s="3">
        <v>1625</v>
      </c>
    </row>
    <row r="107" spans="1:2" x14ac:dyDescent="0.25">
      <c r="A107" s="3" t="s">
        <v>101</v>
      </c>
      <c r="B107" s="3">
        <v>1261</v>
      </c>
    </row>
    <row r="108" spans="1:2" x14ac:dyDescent="0.25">
      <c r="A108" s="3" t="s">
        <v>104</v>
      </c>
      <c r="B108" s="3">
        <v>556</v>
      </c>
    </row>
    <row r="109" spans="1:2" x14ac:dyDescent="0.25">
      <c r="A109" s="3" t="s">
        <v>107</v>
      </c>
      <c r="B109" s="3">
        <v>1441</v>
      </c>
    </row>
    <row r="110" spans="1:2" x14ac:dyDescent="0.25">
      <c r="A110" s="3" t="s">
        <v>99</v>
      </c>
      <c r="B110" s="3">
        <v>337</v>
      </c>
    </row>
    <row r="111" spans="1:2" x14ac:dyDescent="0.25">
      <c r="A111" s="3" t="s">
        <v>99</v>
      </c>
      <c r="B111" s="3">
        <v>284</v>
      </c>
    </row>
    <row r="114" spans="1:12" x14ac:dyDescent="0.25">
      <c r="A114" s="7" t="s">
        <v>333</v>
      </c>
      <c r="B114" s="8"/>
      <c r="C114" s="8"/>
      <c r="D114" s="8"/>
      <c r="E114" s="8"/>
      <c r="F114" s="9"/>
    </row>
    <row r="115" spans="1:12" x14ac:dyDescent="0.25">
      <c r="A115" s="27" t="s">
        <v>228</v>
      </c>
      <c r="B115" s="14"/>
      <c r="C115" s="14"/>
      <c r="D115" s="14"/>
      <c r="E115" s="14"/>
      <c r="F115" s="15"/>
    </row>
    <row r="117" spans="1:12" x14ac:dyDescent="0.25">
      <c r="A117" s="77" t="s">
        <v>147</v>
      </c>
      <c r="E117" s="77" t="s">
        <v>148</v>
      </c>
    </row>
    <row r="118" spans="1:12" x14ac:dyDescent="0.25">
      <c r="E118" t="s">
        <v>149</v>
      </c>
    </row>
    <row r="119" spans="1:12" x14ac:dyDescent="0.25">
      <c r="A119" s="1" t="s">
        <v>150</v>
      </c>
      <c r="B119" s="1" t="s">
        <v>151</v>
      </c>
      <c r="C119" s="1" t="s">
        <v>152</v>
      </c>
      <c r="E119" s="1" t="s">
        <v>153</v>
      </c>
      <c r="F119" s="1" t="s">
        <v>154</v>
      </c>
      <c r="G119" s="1" t="s">
        <v>155</v>
      </c>
      <c r="H119" s="1" t="s">
        <v>156</v>
      </c>
      <c r="I119" s="1" t="s">
        <v>157</v>
      </c>
      <c r="J119" s="1" t="s">
        <v>158</v>
      </c>
      <c r="K119" s="1" t="s">
        <v>159</v>
      </c>
      <c r="L119" s="1" t="s">
        <v>160</v>
      </c>
    </row>
    <row r="120" spans="1:12" x14ac:dyDescent="0.25">
      <c r="A120" s="3">
        <v>1</v>
      </c>
      <c r="B120" s="3" t="s">
        <v>161</v>
      </c>
      <c r="C120" s="88" t="str">
        <f>A120&amp;B120</f>
        <v>1a</v>
      </c>
      <c r="E120" s="3" t="s">
        <v>163</v>
      </c>
      <c r="F120" s="3" t="s">
        <v>164</v>
      </c>
      <c r="G120" s="3" t="s">
        <v>165</v>
      </c>
      <c r="H120" s="3" t="s">
        <v>166</v>
      </c>
      <c r="I120" s="3" t="s">
        <v>167</v>
      </c>
      <c r="J120" s="3" t="s">
        <v>168</v>
      </c>
      <c r="K120" s="3" t="s">
        <v>169</v>
      </c>
      <c r="L120" s="3" t="s">
        <v>170</v>
      </c>
    </row>
    <row r="121" spans="1:12" x14ac:dyDescent="0.25">
      <c r="A121" s="3">
        <v>2</v>
      </c>
      <c r="B121" s="3" t="s">
        <v>161</v>
      </c>
      <c r="C121" s="88" t="str">
        <f t="shared" ref="C121:C151" si="4">A121&amp;B121</f>
        <v>2a</v>
      </c>
      <c r="E121" s="3" t="s">
        <v>172</v>
      </c>
      <c r="F121" s="3" t="s">
        <v>173</v>
      </c>
      <c r="G121" s="3" t="s">
        <v>174</v>
      </c>
      <c r="H121" s="3" t="s">
        <v>175</v>
      </c>
      <c r="I121" s="3" t="s">
        <v>176</v>
      </c>
      <c r="J121" s="3" t="s">
        <v>177</v>
      </c>
      <c r="K121" s="3" t="s">
        <v>178</v>
      </c>
      <c r="L121" s="3" t="s">
        <v>179</v>
      </c>
    </row>
    <row r="122" spans="1:12" x14ac:dyDescent="0.25">
      <c r="A122" s="3">
        <v>3</v>
      </c>
      <c r="B122" s="3" t="s">
        <v>180</v>
      </c>
      <c r="C122" s="88" t="str">
        <f t="shared" si="4"/>
        <v>3b</v>
      </c>
      <c r="E122" s="3" t="s">
        <v>182</v>
      </c>
      <c r="F122" s="3" t="s">
        <v>183</v>
      </c>
      <c r="G122" s="3" t="s">
        <v>184</v>
      </c>
      <c r="H122" s="3" t="s">
        <v>185</v>
      </c>
      <c r="I122" s="3" t="s">
        <v>186</v>
      </c>
      <c r="J122" s="3" t="s">
        <v>187</v>
      </c>
      <c r="K122" s="3" t="s">
        <v>188</v>
      </c>
      <c r="L122" s="3" t="s">
        <v>189</v>
      </c>
    </row>
    <row r="123" spans="1:12" x14ac:dyDescent="0.25">
      <c r="A123" s="3">
        <v>4</v>
      </c>
      <c r="B123" s="3" t="s">
        <v>161</v>
      </c>
      <c r="C123" s="88" t="str">
        <f t="shared" si="4"/>
        <v>4a</v>
      </c>
      <c r="E123" s="3" t="s">
        <v>191</v>
      </c>
      <c r="F123" s="3" t="s">
        <v>192</v>
      </c>
      <c r="G123" s="3" t="s">
        <v>193</v>
      </c>
      <c r="H123" s="3" t="s">
        <v>194</v>
      </c>
      <c r="I123" s="3" t="s">
        <v>195</v>
      </c>
      <c r="J123" s="3" t="s">
        <v>196</v>
      </c>
      <c r="K123" s="3" t="s">
        <v>197</v>
      </c>
      <c r="L123" s="3" t="s">
        <v>198</v>
      </c>
    </row>
    <row r="124" spans="1:12" x14ac:dyDescent="0.25">
      <c r="A124" s="3">
        <v>5</v>
      </c>
      <c r="B124" s="3" t="s">
        <v>161</v>
      </c>
      <c r="C124" s="88" t="str">
        <f t="shared" si="4"/>
        <v>5a</v>
      </c>
      <c r="E124" s="3" t="s">
        <v>200</v>
      </c>
      <c r="F124" s="3" t="s">
        <v>201</v>
      </c>
      <c r="G124" s="3" t="s">
        <v>202</v>
      </c>
      <c r="H124" s="3" t="s">
        <v>190</v>
      </c>
      <c r="I124" s="3" t="s">
        <v>162</v>
      </c>
      <c r="J124" s="3" t="s">
        <v>203</v>
      </c>
      <c r="K124" s="3" t="s">
        <v>204</v>
      </c>
      <c r="L124" s="3" t="s">
        <v>205</v>
      </c>
    </row>
    <row r="125" spans="1:12" x14ac:dyDescent="0.25">
      <c r="A125" s="3">
        <v>6</v>
      </c>
      <c r="B125" s="3" t="s">
        <v>180</v>
      </c>
      <c r="C125" s="88" t="str">
        <f t="shared" si="4"/>
        <v>6b</v>
      </c>
      <c r="E125" s="3" t="s">
        <v>207</v>
      </c>
      <c r="F125" s="3" t="s">
        <v>208</v>
      </c>
      <c r="G125" s="3" t="s">
        <v>171</v>
      </c>
      <c r="H125" s="3" t="s">
        <v>209</v>
      </c>
      <c r="I125" s="3" t="s">
        <v>210</v>
      </c>
      <c r="J125" s="3" t="s">
        <v>211</v>
      </c>
      <c r="K125" s="3" t="s">
        <v>212</v>
      </c>
      <c r="L125" s="3" t="s">
        <v>213</v>
      </c>
    </row>
    <row r="126" spans="1:12" x14ac:dyDescent="0.25">
      <c r="A126" s="3">
        <v>7</v>
      </c>
      <c r="B126" s="3" t="s">
        <v>161</v>
      </c>
      <c r="C126" s="88" t="str">
        <f t="shared" si="4"/>
        <v>7a</v>
      </c>
      <c r="E126" s="3" t="s">
        <v>214</v>
      </c>
      <c r="F126" s="3" t="s">
        <v>181</v>
      </c>
      <c r="G126" s="3" t="s">
        <v>215</v>
      </c>
      <c r="H126" s="3" t="s">
        <v>216</v>
      </c>
      <c r="I126" s="3" t="s">
        <v>217</v>
      </c>
      <c r="J126" s="3" t="s">
        <v>218</v>
      </c>
      <c r="K126" s="3" t="s">
        <v>219</v>
      </c>
      <c r="L126" s="3" t="s">
        <v>220</v>
      </c>
    </row>
    <row r="127" spans="1:12" x14ac:dyDescent="0.25">
      <c r="A127" s="3">
        <v>8</v>
      </c>
      <c r="B127" s="3" t="s">
        <v>161</v>
      </c>
      <c r="C127" s="88" t="str">
        <f t="shared" si="4"/>
        <v>8a</v>
      </c>
      <c r="E127" s="3" t="s">
        <v>206</v>
      </c>
      <c r="F127" s="3" t="s">
        <v>221</v>
      </c>
      <c r="G127" s="3" t="s">
        <v>222</v>
      </c>
      <c r="H127" s="3" t="s">
        <v>223</v>
      </c>
      <c r="I127" s="3" t="s">
        <v>224</v>
      </c>
      <c r="J127" s="3" t="s">
        <v>225</v>
      </c>
      <c r="K127" s="3" t="s">
        <v>226</v>
      </c>
      <c r="L127" s="3" t="s">
        <v>199</v>
      </c>
    </row>
    <row r="128" spans="1:12" x14ac:dyDescent="0.25">
      <c r="A128" s="3">
        <v>9</v>
      </c>
      <c r="B128" s="3" t="s">
        <v>180</v>
      </c>
      <c r="C128" s="88" t="str">
        <f t="shared" si="4"/>
        <v>9b</v>
      </c>
    </row>
    <row r="129" spans="1:14" x14ac:dyDescent="0.25">
      <c r="A129" s="3">
        <v>10</v>
      </c>
      <c r="B129" s="3" t="s">
        <v>180</v>
      </c>
      <c r="C129" s="88" t="str">
        <f t="shared" si="4"/>
        <v>10b</v>
      </c>
      <c r="E129" t="s">
        <v>227</v>
      </c>
    </row>
    <row r="130" spans="1:14" x14ac:dyDescent="0.25">
      <c r="A130" s="3">
        <v>11</v>
      </c>
      <c r="B130" s="3" t="s">
        <v>180</v>
      </c>
      <c r="C130" s="88" t="str">
        <f t="shared" si="4"/>
        <v>11b</v>
      </c>
      <c r="E130" s="1" t="s">
        <v>153</v>
      </c>
      <c r="F130" s="1" t="s">
        <v>154</v>
      </c>
      <c r="G130" s="1" t="s">
        <v>155</v>
      </c>
      <c r="H130" s="1" t="s">
        <v>156</v>
      </c>
      <c r="I130" s="1" t="s">
        <v>157</v>
      </c>
      <c r="J130" s="1" t="s">
        <v>158</v>
      </c>
      <c r="K130" s="1" t="s">
        <v>159</v>
      </c>
      <c r="L130" s="1" t="s">
        <v>160</v>
      </c>
    </row>
    <row r="131" spans="1:14" x14ac:dyDescent="0.25">
      <c r="A131" s="3">
        <v>12</v>
      </c>
      <c r="B131" s="3" t="s">
        <v>161</v>
      </c>
      <c r="C131" s="88" t="str">
        <f t="shared" si="4"/>
        <v>12a</v>
      </c>
      <c r="E131" s="18">
        <f>SUMPRODUCT(COUNTIFS(E120:E127,$C$120:$C$151))</f>
        <v>4</v>
      </c>
      <c r="F131" s="18">
        <f t="shared" ref="F131:L131" si="5">SUMPRODUCT(COUNTIFS(F120:F127,$C$120:$C$151))</f>
        <v>3</v>
      </c>
      <c r="G131" s="18">
        <f t="shared" si="5"/>
        <v>4</v>
      </c>
      <c r="H131" s="18">
        <f t="shared" si="5"/>
        <v>4</v>
      </c>
      <c r="I131" s="18">
        <f t="shared" si="5"/>
        <v>6</v>
      </c>
      <c r="J131" s="18">
        <f t="shared" si="5"/>
        <v>4</v>
      </c>
      <c r="K131" s="18">
        <f t="shared" si="5"/>
        <v>2</v>
      </c>
      <c r="L131" s="18">
        <f t="shared" si="5"/>
        <v>5</v>
      </c>
      <c r="N131" t="s">
        <v>119</v>
      </c>
    </row>
    <row r="132" spans="1:14" x14ac:dyDescent="0.25">
      <c r="A132" s="3">
        <v>13</v>
      </c>
      <c r="B132" s="3" t="s">
        <v>180</v>
      </c>
      <c r="C132" s="88" t="str">
        <f t="shared" si="4"/>
        <v>13b</v>
      </c>
    </row>
    <row r="133" spans="1:14" x14ac:dyDescent="0.25">
      <c r="A133" s="3">
        <v>14</v>
      </c>
      <c r="B133" s="3" t="s">
        <v>161</v>
      </c>
      <c r="C133" s="88" t="str">
        <f t="shared" si="4"/>
        <v>14a</v>
      </c>
    </row>
    <row r="134" spans="1:14" x14ac:dyDescent="0.25">
      <c r="A134" s="3">
        <v>15</v>
      </c>
      <c r="B134" s="3" t="s">
        <v>161</v>
      </c>
      <c r="C134" s="88" t="str">
        <f t="shared" si="4"/>
        <v>15a</v>
      </c>
      <c r="E134" s="87" t="s">
        <v>334</v>
      </c>
      <c r="F134" s="25"/>
      <c r="G134" s="25"/>
      <c r="H134" s="25"/>
      <c r="I134" s="25"/>
      <c r="J134" s="25"/>
      <c r="K134" s="25"/>
      <c r="L134" s="25"/>
      <c r="M134" s="26"/>
    </row>
    <row r="135" spans="1:14" x14ac:dyDescent="0.25">
      <c r="A135" s="3">
        <v>16</v>
      </c>
      <c r="B135" s="3" t="s">
        <v>161</v>
      </c>
      <c r="C135" s="88" t="str">
        <f t="shared" si="4"/>
        <v>16a</v>
      </c>
      <c r="E135" t="s">
        <v>231</v>
      </c>
    </row>
    <row r="136" spans="1:14" x14ac:dyDescent="0.25">
      <c r="A136" s="3">
        <v>17</v>
      </c>
      <c r="B136" s="3" t="s">
        <v>180</v>
      </c>
      <c r="C136" s="88" t="str">
        <f t="shared" si="4"/>
        <v>17b</v>
      </c>
      <c r="E136" s="18">
        <f>SUMPRODUCT(COUNTIFS(E120:E127,$A$120:$A$151&amp;$B$120:$B$151))</f>
        <v>4</v>
      </c>
      <c r="F136" s="18">
        <f t="shared" ref="F136:L136" si="6">SUMPRODUCT(COUNTIFS(F120:F127,$A$120:$A$151&amp;$B$120:$B$151))</f>
        <v>3</v>
      </c>
      <c r="G136" s="18">
        <f t="shared" si="6"/>
        <v>4</v>
      </c>
      <c r="H136" s="18">
        <f t="shared" si="6"/>
        <v>4</v>
      </c>
      <c r="I136" s="18">
        <f t="shared" si="6"/>
        <v>6</v>
      </c>
      <c r="J136" s="18">
        <f t="shared" si="6"/>
        <v>4</v>
      </c>
      <c r="K136" s="18">
        <f t="shared" si="6"/>
        <v>2</v>
      </c>
      <c r="L136" s="18">
        <f t="shared" si="6"/>
        <v>5</v>
      </c>
      <c r="N136" t="s">
        <v>119</v>
      </c>
    </row>
    <row r="137" spans="1:14" x14ac:dyDescent="0.25">
      <c r="A137" s="3">
        <v>18</v>
      </c>
      <c r="B137" s="3" t="s">
        <v>180</v>
      </c>
      <c r="C137" s="88" t="str">
        <f t="shared" si="4"/>
        <v>18b</v>
      </c>
    </row>
    <row r="138" spans="1:14" x14ac:dyDescent="0.25">
      <c r="A138" s="3">
        <v>19</v>
      </c>
      <c r="B138" s="3" t="s">
        <v>180</v>
      </c>
      <c r="C138" s="88" t="str">
        <f t="shared" si="4"/>
        <v>19b</v>
      </c>
    </row>
    <row r="139" spans="1:14" x14ac:dyDescent="0.25">
      <c r="A139" s="3">
        <v>20</v>
      </c>
      <c r="B139" s="3" t="s">
        <v>180</v>
      </c>
      <c r="C139" s="88" t="str">
        <f t="shared" si="4"/>
        <v>20b</v>
      </c>
    </row>
    <row r="140" spans="1:14" x14ac:dyDescent="0.25">
      <c r="A140" s="3">
        <v>21</v>
      </c>
      <c r="B140" s="3" t="s">
        <v>180</v>
      </c>
      <c r="C140" s="88" t="str">
        <f t="shared" si="4"/>
        <v>21b</v>
      </c>
    </row>
    <row r="141" spans="1:14" x14ac:dyDescent="0.25">
      <c r="A141" s="3">
        <v>22</v>
      </c>
      <c r="B141" s="3" t="s">
        <v>180</v>
      </c>
      <c r="C141" s="88" t="str">
        <f t="shared" si="4"/>
        <v>22b</v>
      </c>
    </row>
    <row r="142" spans="1:14" x14ac:dyDescent="0.25">
      <c r="A142" s="3">
        <v>23</v>
      </c>
      <c r="B142" s="3" t="s">
        <v>180</v>
      </c>
      <c r="C142" s="88" t="str">
        <f t="shared" si="4"/>
        <v>23b</v>
      </c>
    </row>
    <row r="143" spans="1:14" x14ac:dyDescent="0.25">
      <c r="A143" s="3">
        <v>24</v>
      </c>
      <c r="B143" s="3" t="s">
        <v>180</v>
      </c>
      <c r="C143" s="88" t="str">
        <f t="shared" si="4"/>
        <v>24b</v>
      </c>
    </row>
    <row r="144" spans="1:14" x14ac:dyDescent="0.25">
      <c r="A144" s="3">
        <v>25</v>
      </c>
      <c r="B144" s="3" t="s">
        <v>161</v>
      </c>
      <c r="C144" s="88" t="str">
        <f t="shared" si="4"/>
        <v>25a</v>
      </c>
    </row>
    <row r="145" spans="1:8" x14ac:dyDescent="0.25">
      <c r="A145" s="3">
        <v>26</v>
      </c>
      <c r="B145" s="3" t="s">
        <v>180</v>
      </c>
      <c r="C145" s="88" t="str">
        <f t="shared" si="4"/>
        <v>26b</v>
      </c>
    </row>
    <row r="146" spans="1:8" x14ac:dyDescent="0.25">
      <c r="A146" s="3">
        <v>27</v>
      </c>
      <c r="B146" s="3" t="s">
        <v>180</v>
      </c>
      <c r="C146" s="88" t="str">
        <f t="shared" si="4"/>
        <v>27b</v>
      </c>
    </row>
    <row r="147" spans="1:8" x14ac:dyDescent="0.25">
      <c r="A147" s="3">
        <v>28</v>
      </c>
      <c r="B147" s="3" t="s">
        <v>161</v>
      </c>
      <c r="C147" s="88" t="str">
        <f t="shared" si="4"/>
        <v>28a</v>
      </c>
    </row>
    <row r="148" spans="1:8" x14ac:dyDescent="0.25">
      <c r="A148" s="3">
        <v>29</v>
      </c>
      <c r="B148" s="3" t="s">
        <v>180</v>
      </c>
      <c r="C148" s="88" t="str">
        <f t="shared" si="4"/>
        <v>29b</v>
      </c>
    </row>
    <row r="149" spans="1:8" x14ac:dyDescent="0.25">
      <c r="A149" s="3">
        <v>30</v>
      </c>
      <c r="B149" s="3" t="s">
        <v>161</v>
      </c>
      <c r="C149" s="88" t="str">
        <f t="shared" si="4"/>
        <v>30a</v>
      </c>
    </row>
    <row r="150" spans="1:8" x14ac:dyDescent="0.25">
      <c r="A150" s="3">
        <v>31</v>
      </c>
      <c r="B150" s="3" t="s">
        <v>180</v>
      </c>
      <c r="C150" s="88" t="str">
        <f t="shared" si="4"/>
        <v>31b</v>
      </c>
    </row>
    <row r="151" spans="1:8" x14ac:dyDescent="0.25">
      <c r="A151" s="3">
        <v>32</v>
      </c>
      <c r="B151" s="3" t="s">
        <v>180</v>
      </c>
      <c r="C151" s="88" t="str">
        <f t="shared" si="4"/>
        <v>32b</v>
      </c>
    </row>
    <row r="155" spans="1:8" x14ac:dyDescent="0.25">
      <c r="A155" s="7" t="s">
        <v>340</v>
      </c>
      <c r="B155" s="8"/>
      <c r="C155" s="8"/>
      <c r="D155" s="8"/>
      <c r="E155" s="8"/>
      <c r="F155" s="9"/>
    </row>
    <row r="156" spans="1:8" x14ac:dyDescent="0.25">
      <c r="A156" s="27" t="s">
        <v>337</v>
      </c>
      <c r="B156" s="14"/>
      <c r="C156" s="14"/>
      <c r="D156" s="14"/>
      <c r="E156" s="14"/>
      <c r="F156" s="15"/>
    </row>
    <row r="158" spans="1:8" x14ac:dyDescent="0.25">
      <c r="A158" s="78" t="s">
        <v>105</v>
      </c>
      <c r="B158" s="2" t="s">
        <v>49</v>
      </c>
      <c r="C158" s="2" t="s">
        <v>41</v>
      </c>
      <c r="E158" s="19" t="s">
        <v>256</v>
      </c>
      <c r="F158" s="20"/>
    </row>
    <row r="159" spans="1:8" x14ac:dyDescent="0.25">
      <c r="A159" s="3" t="s">
        <v>254</v>
      </c>
      <c r="B159" s="29">
        <v>313.19</v>
      </c>
      <c r="C159" s="29">
        <v>165.99</v>
      </c>
      <c r="D159" s="53"/>
      <c r="E159" s="3" t="s">
        <v>254</v>
      </c>
      <c r="F159" s="18">
        <f t="array" ref="F159">AVERAGE(IF($A$159:$A$178=E159,$B$159:$B$178-$C$159:$C$178))</f>
        <v>236.42</v>
      </c>
      <c r="H159" t="s">
        <v>315</v>
      </c>
    </row>
    <row r="160" spans="1:8" x14ac:dyDescent="0.25">
      <c r="A160" s="3" t="s">
        <v>255</v>
      </c>
      <c r="B160" s="29">
        <v>573.69000000000005</v>
      </c>
      <c r="C160" s="29">
        <v>200.79</v>
      </c>
      <c r="D160" s="53"/>
      <c r="E160" s="3" t="s">
        <v>255</v>
      </c>
      <c r="F160" s="18">
        <f t="array" ref="F160">AVERAGE(IF($A$159:$A$178=E160,$B$159:$B$178-$C$159:$C$178))</f>
        <v>189.86142857142858</v>
      </c>
      <c r="H160" t="s">
        <v>123</v>
      </c>
    </row>
    <row r="161" spans="1:6" x14ac:dyDescent="0.25">
      <c r="A161" s="3" t="s">
        <v>88</v>
      </c>
      <c r="B161" s="29">
        <v>67.540000000000006</v>
      </c>
      <c r="C161" s="29">
        <v>33.770000000000003</v>
      </c>
      <c r="D161" s="53"/>
      <c r="E161" s="3" t="s">
        <v>88</v>
      </c>
      <c r="F161" s="18">
        <f t="array" ref="F161">AVERAGE(IF($A$159:$A$178=E161,$B$159:$B$178-$C$159:$C$178))</f>
        <v>304.84800000000001</v>
      </c>
    </row>
    <row r="162" spans="1:6" x14ac:dyDescent="0.25">
      <c r="A162" s="3" t="s">
        <v>101</v>
      </c>
      <c r="B162" s="29">
        <v>767.4</v>
      </c>
      <c r="C162" s="29">
        <v>399.05</v>
      </c>
      <c r="D162" s="53"/>
      <c r="E162" s="3" t="s">
        <v>101</v>
      </c>
      <c r="F162" s="18">
        <f t="array" ref="F162">AVERAGE(IF($A$159:$A$178=E162,$B$159:$B$178-$C$159:$C$178))</f>
        <v>204.54599999999999</v>
      </c>
    </row>
    <row r="163" spans="1:6" x14ac:dyDescent="0.25">
      <c r="A163" s="3" t="s">
        <v>101</v>
      </c>
      <c r="B163" s="29">
        <v>301.81</v>
      </c>
      <c r="C163" s="29">
        <v>126.76</v>
      </c>
      <c r="D163" s="53"/>
    </row>
    <row r="164" spans="1:6" x14ac:dyDescent="0.25">
      <c r="A164" s="3" t="s">
        <v>254</v>
      </c>
      <c r="B164" s="29">
        <v>581.33000000000004</v>
      </c>
      <c r="C164" s="29">
        <v>342.98</v>
      </c>
      <c r="D164" s="53"/>
    </row>
    <row r="165" spans="1:6" x14ac:dyDescent="0.25">
      <c r="A165" s="3" t="s">
        <v>101</v>
      </c>
      <c r="B165" s="29">
        <v>96.09</v>
      </c>
      <c r="C165" s="29">
        <v>51.89</v>
      </c>
      <c r="D165" s="53"/>
    </row>
    <row r="166" spans="1:6" x14ac:dyDescent="0.25">
      <c r="A166" s="3" t="s">
        <v>101</v>
      </c>
      <c r="B166" s="29">
        <v>269.23</v>
      </c>
      <c r="C166" s="29">
        <v>129.22999999999999</v>
      </c>
      <c r="D166" s="53"/>
    </row>
    <row r="167" spans="1:6" x14ac:dyDescent="0.25">
      <c r="A167" s="3" t="s">
        <v>255</v>
      </c>
      <c r="B167" s="29">
        <v>10.57</v>
      </c>
      <c r="C167" s="29">
        <v>3.81</v>
      </c>
      <c r="D167" s="53"/>
    </row>
    <row r="168" spans="1:6" x14ac:dyDescent="0.25">
      <c r="A168" s="3" t="s">
        <v>255</v>
      </c>
      <c r="B168" s="29">
        <v>373.23</v>
      </c>
      <c r="C168" s="29">
        <v>134.36000000000001</v>
      </c>
      <c r="D168" s="53"/>
    </row>
    <row r="169" spans="1:6" x14ac:dyDescent="0.25">
      <c r="A169" s="3" t="s">
        <v>88</v>
      </c>
      <c r="B169" s="29">
        <v>811.18</v>
      </c>
      <c r="C169" s="29">
        <v>413.7</v>
      </c>
      <c r="D169" s="53"/>
    </row>
    <row r="170" spans="1:6" x14ac:dyDescent="0.25">
      <c r="A170" s="3" t="s">
        <v>255</v>
      </c>
      <c r="B170" s="29">
        <v>893.84</v>
      </c>
      <c r="C170" s="29">
        <v>429.04</v>
      </c>
      <c r="D170" s="53"/>
    </row>
    <row r="171" spans="1:6" x14ac:dyDescent="0.25">
      <c r="A171" s="3" t="s">
        <v>88</v>
      </c>
      <c r="B171" s="29">
        <v>806.82</v>
      </c>
      <c r="C171" s="29">
        <v>306.58999999999997</v>
      </c>
      <c r="D171" s="53"/>
    </row>
    <row r="172" spans="1:6" x14ac:dyDescent="0.25">
      <c r="A172" s="3" t="s">
        <v>255</v>
      </c>
      <c r="B172" s="29">
        <v>559.02</v>
      </c>
      <c r="C172" s="29">
        <v>318.64</v>
      </c>
      <c r="D172" s="53"/>
    </row>
    <row r="173" spans="1:6" x14ac:dyDescent="0.25">
      <c r="A173" s="3" t="s">
        <v>88</v>
      </c>
      <c r="B173" s="29">
        <v>700.4</v>
      </c>
      <c r="C173" s="29">
        <v>287.16000000000003</v>
      </c>
      <c r="D173" s="53"/>
    </row>
    <row r="174" spans="1:6" x14ac:dyDescent="0.25">
      <c r="A174" s="3" t="s">
        <v>254</v>
      </c>
      <c r="B174" s="29">
        <v>530.67999999999995</v>
      </c>
      <c r="C174" s="29">
        <v>206.97</v>
      </c>
      <c r="D174" s="53"/>
    </row>
    <row r="175" spans="1:6" x14ac:dyDescent="0.25">
      <c r="A175" s="3" t="s">
        <v>255</v>
      </c>
      <c r="B175" s="29">
        <v>7.8100000000000005</v>
      </c>
      <c r="C175" s="29">
        <v>2.73</v>
      </c>
      <c r="D175" s="53"/>
    </row>
    <row r="176" spans="1:6" x14ac:dyDescent="0.25">
      <c r="A176" s="3" t="s">
        <v>88</v>
      </c>
      <c r="B176" s="29">
        <v>284.95</v>
      </c>
      <c r="C176" s="29">
        <v>105.43</v>
      </c>
      <c r="D176" s="53"/>
    </row>
    <row r="177" spans="1:10" x14ac:dyDescent="0.25">
      <c r="A177" s="3" t="s">
        <v>101</v>
      </c>
      <c r="B177" s="29">
        <v>476.02</v>
      </c>
      <c r="C177" s="29">
        <v>180.89</v>
      </c>
      <c r="D177" s="53"/>
    </row>
    <row r="178" spans="1:10" x14ac:dyDescent="0.25">
      <c r="A178" s="3" t="s">
        <v>255</v>
      </c>
      <c r="B178" s="29">
        <v>0.4</v>
      </c>
      <c r="C178" s="29">
        <v>0.16</v>
      </c>
      <c r="D178" s="53"/>
    </row>
    <row r="183" spans="1:10" x14ac:dyDescent="0.25">
      <c r="A183" s="7" t="s">
        <v>335</v>
      </c>
      <c r="B183" s="8"/>
      <c r="C183" s="8"/>
      <c r="D183" s="8"/>
      <c r="E183" s="8"/>
      <c r="F183" s="9"/>
    </row>
    <row r="184" spans="1:10" x14ac:dyDescent="0.25">
      <c r="A184" s="27" t="s">
        <v>132</v>
      </c>
      <c r="B184" s="14"/>
      <c r="C184" s="14"/>
      <c r="D184" s="14"/>
      <c r="E184" s="14"/>
      <c r="F184" s="15"/>
    </row>
    <row r="185" spans="1:10" x14ac:dyDescent="0.25">
      <c r="A185" s="1" t="s">
        <v>43</v>
      </c>
      <c r="B185" s="28" t="s">
        <v>44</v>
      </c>
      <c r="C185" s="28" t="s">
        <v>45</v>
      </c>
      <c r="D185" s="28" t="s">
        <v>46</v>
      </c>
      <c r="E185" s="28" t="s">
        <v>97</v>
      </c>
    </row>
    <row r="186" spans="1:10" x14ac:dyDescent="0.25">
      <c r="A186" s="1" t="s">
        <v>49</v>
      </c>
      <c r="B186" s="29">
        <v>65487</v>
      </c>
      <c r="C186" s="29">
        <v>75894</v>
      </c>
      <c r="D186" s="29">
        <v>65007</v>
      </c>
      <c r="E186" s="29">
        <f t="shared" ref="E186:E192" si="7">SUM(B186:D186)</f>
        <v>206388</v>
      </c>
    </row>
    <row r="187" spans="1:10" x14ac:dyDescent="0.25">
      <c r="A187" s="30" t="s">
        <v>41</v>
      </c>
      <c r="B187" s="31">
        <f t="shared" ref="B187:E190" si="8">ROUND(B$186*$G195,2)</f>
        <v>30422.63</v>
      </c>
      <c r="C187" s="31">
        <f t="shared" si="8"/>
        <v>35257.300000000003</v>
      </c>
      <c r="D187" s="31">
        <f t="shared" si="8"/>
        <v>30199.64</v>
      </c>
      <c r="E187" s="31">
        <f t="shared" si="8"/>
        <v>95879.57</v>
      </c>
    </row>
    <row r="188" spans="1:10" x14ac:dyDescent="0.25">
      <c r="A188" s="30" t="s">
        <v>50</v>
      </c>
      <c r="B188" s="31">
        <f t="shared" si="8"/>
        <v>12756.17</v>
      </c>
      <c r="C188" s="31">
        <f t="shared" si="8"/>
        <v>14783.34</v>
      </c>
      <c r="D188" s="31">
        <f t="shared" si="8"/>
        <v>12662.67</v>
      </c>
      <c r="E188" s="31">
        <f t="shared" si="8"/>
        <v>40202.17</v>
      </c>
      <c r="I188" s="3" t="s">
        <v>41</v>
      </c>
      <c r="J188" s="36">
        <v>0.46455983312744287</v>
      </c>
    </row>
    <row r="189" spans="1:10" x14ac:dyDescent="0.25">
      <c r="A189" s="30" t="s">
        <v>51</v>
      </c>
      <c r="B189" s="31">
        <f t="shared" si="8"/>
        <v>10110.370000000001</v>
      </c>
      <c r="C189" s="31">
        <f t="shared" si="8"/>
        <v>11717.08</v>
      </c>
      <c r="D189" s="31">
        <f t="shared" si="8"/>
        <v>10036.27</v>
      </c>
      <c r="E189" s="31">
        <f t="shared" si="8"/>
        <v>31863.73</v>
      </c>
      <c r="I189" s="3" t="s">
        <v>50</v>
      </c>
      <c r="J189" s="36">
        <v>0.19478928289353775</v>
      </c>
    </row>
    <row r="190" spans="1:10" x14ac:dyDescent="0.25">
      <c r="A190" s="30" t="s">
        <v>52</v>
      </c>
      <c r="B190" s="31">
        <f t="shared" si="8"/>
        <v>3274.35</v>
      </c>
      <c r="C190" s="31">
        <f t="shared" si="8"/>
        <v>3794.7</v>
      </c>
      <c r="D190" s="31">
        <f t="shared" si="8"/>
        <v>3250.35</v>
      </c>
      <c r="E190" s="31">
        <f t="shared" si="8"/>
        <v>10319.4</v>
      </c>
      <c r="I190" s="3" t="s">
        <v>51</v>
      </c>
      <c r="J190" s="36">
        <v>0.15438749265882257</v>
      </c>
    </row>
    <row r="191" spans="1:10" ht="15.75" thickBot="1" x14ac:dyDescent="0.3">
      <c r="A191" s="1" t="s">
        <v>53</v>
      </c>
      <c r="B191" s="32">
        <f>SUM(B187:B190)</f>
        <v>56563.520000000004</v>
      </c>
      <c r="C191" s="33">
        <f>SUM(C187:C190)</f>
        <v>65552.42</v>
      </c>
      <c r="D191" s="33">
        <f>SUM(D187:D190)</f>
        <v>56148.93</v>
      </c>
      <c r="E191" s="33">
        <f t="shared" si="7"/>
        <v>178264.87</v>
      </c>
      <c r="I191" s="3" t="s">
        <v>52</v>
      </c>
      <c r="J191" s="36">
        <v>4.0371412948824396E-2</v>
      </c>
    </row>
    <row r="192" spans="1:10" ht="15.75" thickBot="1" x14ac:dyDescent="0.3">
      <c r="A192" s="1" t="s">
        <v>54</v>
      </c>
      <c r="B192" s="37">
        <f>B186-B191</f>
        <v>8923.4799999999959</v>
      </c>
      <c r="C192" s="38">
        <f>C186-C191</f>
        <v>10341.580000000002</v>
      </c>
      <c r="D192" s="38">
        <f>D186-D191</f>
        <v>8858.07</v>
      </c>
      <c r="E192" s="38">
        <f t="shared" si="7"/>
        <v>28123.129999999997</v>
      </c>
    </row>
    <row r="193" spans="1:10" ht="15.75" thickTop="1" x14ac:dyDescent="0.25"/>
    <row r="194" spans="1:10" x14ac:dyDescent="0.25">
      <c r="A194" s="64" t="s">
        <v>56</v>
      </c>
      <c r="B194" s="65"/>
      <c r="C194" s="65"/>
      <c r="D194" s="66"/>
      <c r="F194" s="75" t="s">
        <v>133</v>
      </c>
      <c r="G194" s="76"/>
    </row>
    <row r="195" spans="1:10" x14ac:dyDescent="0.25">
      <c r="A195" s="3" t="s">
        <v>41</v>
      </c>
      <c r="B195" s="3" t="s">
        <v>50</v>
      </c>
      <c r="C195" s="3" t="s">
        <v>51</v>
      </c>
      <c r="D195" s="3" t="s">
        <v>52</v>
      </c>
      <c r="F195" s="73" t="str">
        <f t="array" ref="F195:G198">TRANSPOSE(A195:D196)</f>
        <v>COGS</v>
      </c>
      <c r="G195" s="74">
        <v>0.46455983312744287</v>
      </c>
      <c r="J195" t="s">
        <v>253</v>
      </c>
    </row>
    <row r="196" spans="1:10" x14ac:dyDescent="0.25">
      <c r="A196" s="36">
        <v>0.46455983312744287</v>
      </c>
      <c r="B196" s="36">
        <v>0.19478928289353775</v>
      </c>
      <c r="C196" s="36">
        <v>0.15438749265882257</v>
      </c>
      <c r="D196" s="36">
        <v>0.05</v>
      </c>
      <c r="F196" s="73" t="str">
        <v>Operating</v>
      </c>
      <c r="G196" s="74">
        <v>0.19478928289353775</v>
      </c>
    </row>
    <row r="197" spans="1:10" x14ac:dyDescent="0.25">
      <c r="F197" s="73" t="str">
        <v>Administrative</v>
      </c>
      <c r="G197" s="74">
        <v>0.15438749265882257</v>
      </c>
    </row>
    <row r="198" spans="1:10" x14ac:dyDescent="0.25">
      <c r="A198" t="s">
        <v>140</v>
      </c>
      <c r="F198" s="73" t="str">
        <v>Other</v>
      </c>
      <c r="G198" s="74">
        <v>0.05</v>
      </c>
    </row>
    <row r="199" spans="1:10" x14ac:dyDescent="0.25">
      <c r="A199" t="s">
        <v>127</v>
      </c>
    </row>
    <row r="200" spans="1:10" x14ac:dyDescent="0.25">
      <c r="A200" t="s">
        <v>128</v>
      </c>
    </row>
    <row r="201" spans="1:10" x14ac:dyDescent="0.25">
      <c r="A201" t="s">
        <v>129</v>
      </c>
    </row>
    <row r="202" spans="1:10" x14ac:dyDescent="0.25">
      <c r="A202" t="s">
        <v>131</v>
      </c>
    </row>
    <row r="203" spans="1:10" x14ac:dyDescent="0.25">
      <c r="A203" t="s">
        <v>130</v>
      </c>
    </row>
    <row r="206" spans="1:10" x14ac:dyDescent="0.25">
      <c r="A206" s="7" t="s">
        <v>336</v>
      </c>
      <c r="B206" s="8"/>
      <c r="C206" s="8"/>
      <c r="D206" s="8"/>
      <c r="E206" s="8"/>
      <c r="F206" s="9"/>
    </row>
    <row r="207" spans="1:10" x14ac:dyDescent="0.25">
      <c r="A207" s="27" t="s">
        <v>229</v>
      </c>
      <c r="B207" s="14"/>
      <c r="C207" s="14"/>
      <c r="D207" s="14"/>
      <c r="E207" s="14"/>
      <c r="F207" s="15"/>
    </row>
    <row r="209" spans="1:9" x14ac:dyDescent="0.25">
      <c r="A209" s="71" t="s">
        <v>40</v>
      </c>
      <c r="C209" s="1" t="s">
        <v>136</v>
      </c>
      <c r="D209" s="1" t="s">
        <v>137</v>
      </c>
      <c r="E209" s="1" t="s">
        <v>138</v>
      </c>
      <c r="I209" t="s">
        <v>269</v>
      </c>
    </row>
    <row r="210" spans="1:9" x14ac:dyDescent="0.25">
      <c r="A210" s="72">
        <v>249.99</v>
      </c>
      <c r="C210" s="3" t="str">
        <f>"Sales &lt;= "&amp;DOLLAR(D210,0)</f>
        <v>Sales &lt;= $250</v>
      </c>
      <c r="D210" s="3">
        <v>250</v>
      </c>
      <c r="E210" s="18">
        <f t="array" ref="E210:E214">FREQUENCY(A210:A222,D210:D213)</f>
        <v>2</v>
      </c>
      <c r="I210" s="1" t="s">
        <v>138</v>
      </c>
    </row>
    <row r="211" spans="1:9" x14ac:dyDescent="0.25">
      <c r="A211" s="72">
        <v>250</v>
      </c>
      <c r="C211" s="3" t="str">
        <f t="shared" ref="C211:C213" si="9">DOLLAR(D210,0)&amp;" &lt; Sales &lt;= "&amp;DOLLAR(D211,0)</f>
        <v>$250 &lt; Sales &lt;= $500</v>
      </c>
      <c r="D211" s="3">
        <v>500</v>
      </c>
      <c r="E211" s="18">
        <v>4</v>
      </c>
      <c r="I211" s="18">
        <f t="array" ref="I211:I215">FREQUENCY(A210:A222,{250;500;750;1000})</f>
        <v>2</v>
      </c>
    </row>
    <row r="212" spans="1:9" x14ac:dyDescent="0.25">
      <c r="A212" s="72">
        <v>250.01</v>
      </c>
      <c r="C212" s="3" t="str">
        <f t="shared" si="9"/>
        <v>$500 &lt; Sales &lt;= $750</v>
      </c>
      <c r="D212" s="3">
        <v>750</v>
      </c>
      <c r="E212" s="18">
        <v>1</v>
      </c>
      <c r="I212" s="18">
        <v>4</v>
      </c>
    </row>
    <row r="213" spans="1:9" x14ac:dyDescent="0.25">
      <c r="A213" s="72">
        <v>450</v>
      </c>
      <c r="C213" s="3" t="str">
        <f t="shared" si="9"/>
        <v>$750 &lt; Sales &lt;= $1,000</v>
      </c>
      <c r="D213" s="3">
        <v>1000</v>
      </c>
      <c r="E213" s="18">
        <v>5</v>
      </c>
      <c r="I213" s="18">
        <v>1</v>
      </c>
    </row>
    <row r="214" spans="1:9" x14ac:dyDescent="0.25">
      <c r="A214" s="72">
        <v>499.99</v>
      </c>
      <c r="C214" s="3" t="str">
        <f>"Sales &gt; "&amp;DOLLAR(D213,0)</f>
        <v>Sales &gt; $1,000</v>
      </c>
      <c r="D214" s="3"/>
      <c r="E214" s="18">
        <v>1</v>
      </c>
      <c r="I214" s="18">
        <v>5</v>
      </c>
    </row>
    <row r="215" spans="1:9" x14ac:dyDescent="0.25">
      <c r="A215" s="72">
        <v>500</v>
      </c>
      <c r="I215" s="18">
        <v>1</v>
      </c>
    </row>
    <row r="216" spans="1:9" x14ac:dyDescent="0.25">
      <c r="A216" s="72">
        <v>500.01</v>
      </c>
      <c r="C216" t="s">
        <v>146</v>
      </c>
    </row>
    <row r="217" spans="1:9" x14ac:dyDescent="0.25">
      <c r="A217" s="72">
        <v>800</v>
      </c>
      <c r="C217" s="63" t="s">
        <v>144</v>
      </c>
    </row>
    <row r="218" spans="1:9" x14ac:dyDescent="0.25">
      <c r="A218" s="72">
        <v>900</v>
      </c>
      <c r="C218" s="63" t="s">
        <v>145</v>
      </c>
    </row>
    <row r="219" spans="1:9" x14ac:dyDescent="0.25">
      <c r="A219" s="72">
        <v>850</v>
      </c>
      <c r="C219" s="63" t="s">
        <v>139</v>
      </c>
    </row>
    <row r="220" spans="1:9" x14ac:dyDescent="0.25">
      <c r="A220" s="72">
        <v>800</v>
      </c>
      <c r="C220" s="4" t="s">
        <v>143</v>
      </c>
    </row>
    <row r="221" spans="1:9" x14ac:dyDescent="0.25">
      <c r="A221" s="72">
        <v>1000</v>
      </c>
      <c r="C221" t="s">
        <v>232</v>
      </c>
    </row>
    <row r="222" spans="1:9" x14ac:dyDescent="0.25">
      <c r="A222" s="72">
        <v>2000</v>
      </c>
      <c r="C222" t="s">
        <v>141</v>
      </c>
    </row>
    <row r="223" spans="1:9" x14ac:dyDescent="0.25">
      <c r="C223" t="s">
        <v>142</v>
      </c>
    </row>
    <row r="244" spans="1:7" x14ac:dyDescent="0.25">
      <c r="A244" s="7" t="s">
        <v>338</v>
      </c>
      <c r="B244" s="8"/>
      <c r="C244" s="8"/>
      <c r="D244" s="8"/>
      <c r="E244" s="8"/>
      <c r="F244" s="9"/>
    </row>
    <row r="245" spans="1:7" x14ac:dyDescent="0.25">
      <c r="A245" s="27" t="s">
        <v>332</v>
      </c>
      <c r="B245" s="14"/>
      <c r="C245" s="14"/>
      <c r="D245" s="14"/>
      <c r="E245" s="14"/>
      <c r="F245" s="15"/>
    </row>
    <row r="247" spans="1:7" ht="45" x14ac:dyDescent="0.25">
      <c r="A247" s="55" t="s">
        <v>115</v>
      </c>
      <c r="B247" s="56" t="s">
        <v>116</v>
      </c>
      <c r="D247" s="57" t="s">
        <v>115</v>
      </c>
      <c r="E247" s="57" t="s">
        <v>118</v>
      </c>
    </row>
    <row r="248" spans="1:7" x14ac:dyDescent="0.25">
      <c r="A248" s="58" t="s">
        <v>117</v>
      </c>
      <c r="B248" s="59">
        <v>6.7</v>
      </c>
      <c r="D248" s="3" t="s">
        <v>117</v>
      </c>
      <c r="E248" s="60">
        <f t="array" ref="E248">MIN(IF($A$248:$A$407=D248,$B$248:$B$407))</f>
        <v>4.2</v>
      </c>
      <c r="G248" t="s">
        <v>314</v>
      </c>
    </row>
    <row r="249" spans="1:7" x14ac:dyDescent="0.25">
      <c r="A249" s="61" t="s">
        <v>31</v>
      </c>
      <c r="B249" s="62">
        <v>5.4</v>
      </c>
      <c r="D249" s="3" t="s">
        <v>31</v>
      </c>
      <c r="E249" s="60">
        <f t="array" ref="E249">MIN(IF($A$248:$A$407=D249,$B$248:$B$407))</f>
        <v>4</v>
      </c>
      <c r="G249" t="s">
        <v>123</v>
      </c>
    </row>
    <row r="250" spans="1:7" x14ac:dyDescent="0.25">
      <c r="A250" s="58" t="s">
        <v>31</v>
      </c>
      <c r="B250" s="59">
        <v>4.7</v>
      </c>
      <c r="D250" s="3" t="s">
        <v>32</v>
      </c>
      <c r="E250" s="60">
        <f>MIN(IF($A$248:$A$407=D250,$B$248:$B$407))</f>
        <v>0</v>
      </c>
    </row>
    <row r="251" spans="1:7" x14ac:dyDescent="0.25">
      <c r="A251" s="61" t="s">
        <v>32</v>
      </c>
      <c r="B251" s="62">
        <v>7.7</v>
      </c>
    </row>
    <row r="252" spans="1:7" x14ac:dyDescent="0.25">
      <c r="A252" s="58" t="s">
        <v>32</v>
      </c>
      <c r="B252" s="59">
        <v>5.2</v>
      </c>
      <c r="D252" s="57" t="s">
        <v>115</v>
      </c>
      <c r="E252" s="57" t="s">
        <v>118</v>
      </c>
    </row>
    <row r="253" spans="1:7" x14ac:dyDescent="0.25">
      <c r="A253" s="61" t="s">
        <v>32</v>
      </c>
      <c r="B253" s="62">
        <v>9.5</v>
      </c>
      <c r="D253" s="3" t="s">
        <v>117</v>
      </c>
      <c r="E253" s="60">
        <f>_xlfn.AGGREGATE(15,6,$B$248:$B$407/($A$248:$A$407=D253),1)</f>
        <v>4.2</v>
      </c>
      <c r="G253" t="s">
        <v>125</v>
      </c>
    </row>
    <row r="254" spans="1:7" x14ac:dyDescent="0.25">
      <c r="A254" s="58" t="s">
        <v>31</v>
      </c>
      <c r="B254" s="59">
        <v>4.5999999999999996</v>
      </c>
      <c r="D254" s="3" t="s">
        <v>31</v>
      </c>
      <c r="E254" s="60">
        <f>_xlfn.AGGREGATE(15,6,$B$248:$B$407/($A$248:$A$407=D254),1)</f>
        <v>4</v>
      </c>
      <c r="G254" t="s">
        <v>124</v>
      </c>
    </row>
    <row r="255" spans="1:7" x14ac:dyDescent="0.25">
      <c r="A255" s="61" t="s">
        <v>31</v>
      </c>
      <c r="B255" s="62">
        <v>4.4000000000000004</v>
      </c>
      <c r="D255" s="3" t="s">
        <v>32</v>
      </c>
      <c r="E255" s="60">
        <f>_xlfn.AGGREGATE(15,6,$B$248:$B$407/($A$248:$A$407=D255),1)</f>
        <v>5.2</v>
      </c>
    </row>
    <row r="256" spans="1:7" x14ac:dyDescent="0.25">
      <c r="A256" s="58" t="s">
        <v>117</v>
      </c>
      <c r="B256" s="59">
        <v>5.9</v>
      </c>
    </row>
    <row r="257" spans="1:7" x14ac:dyDescent="0.25">
      <c r="A257" s="61" t="s">
        <v>31</v>
      </c>
      <c r="B257" s="62">
        <v>6.7</v>
      </c>
      <c r="D257" s="57" t="s">
        <v>115</v>
      </c>
      <c r="E257" s="57" t="s">
        <v>118</v>
      </c>
    </row>
    <row r="258" spans="1:7" x14ac:dyDescent="0.25">
      <c r="A258" s="58" t="s">
        <v>31</v>
      </c>
      <c r="B258" s="59">
        <v>6.3</v>
      </c>
      <c r="D258" s="3" t="s">
        <v>117</v>
      </c>
      <c r="E258" s="60">
        <f>_xlfn.MINIFS($B$248:$B$407,$A$248:$A$407,D258)</f>
        <v>4.2</v>
      </c>
      <c r="G258" t="s">
        <v>122</v>
      </c>
    </row>
    <row r="259" spans="1:7" x14ac:dyDescent="0.25">
      <c r="A259" s="61" t="s">
        <v>31</v>
      </c>
      <c r="B259" s="62">
        <v>5.6</v>
      </c>
      <c r="D259" s="3" t="s">
        <v>31</v>
      </c>
      <c r="E259" s="60">
        <f>_xlfn.MINIFS($B$248:$B$407,$A$248:$A$407,D259)</f>
        <v>4</v>
      </c>
      <c r="G259" t="s">
        <v>126</v>
      </c>
    </row>
    <row r="260" spans="1:7" x14ac:dyDescent="0.25">
      <c r="A260" s="58" t="s">
        <v>32</v>
      </c>
      <c r="B260" s="59">
        <v>5.7</v>
      </c>
      <c r="D260" s="3" t="s">
        <v>32</v>
      </c>
      <c r="E260" s="60">
        <f>_xlfn.MINIFS($B$248:$B$407,$A$248:$A$407,D260)</f>
        <v>5.2</v>
      </c>
    </row>
    <row r="261" spans="1:7" x14ac:dyDescent="0.25">
      <c r="A261" s="61" t="s">
        <v>32</v>
      </c>
      <c r="B261" s="62">
        <v>6.2</v>
      </c>
    </row>
    <row r="262" spans="1:7" ht="45" x14ac:dyDescent="0.25">
      <c r="A262" s="58" t="s">
        <v>31</v>
      </c>
      <c r="B262" s="59">
        <v>4.5</v>
      </c>
      <c r="D262" s="57" t="s">
        <v>115</v>
      </c>
      <c r="E262" s="57" t="s">
        <v>267</v>
      </c>
    </row>
    <row r="263" spans="1:7" x14ac:dyDescent="0.25">
      <c r="A263" s="61" t="s">
        <v>32</v>
      </c>
      <c r="B263" s="62">
        <v>7.9</v>
      </c>
      <c r="D263" s="3" t="s">
        <v>117</v>
      </c>
      <c r="E263" s="60">
        <f t="array" ref="E263">_xlfn.STDEV.S(IF($A$248:$A$407=D263,$B$248:$B$407))</f>
        <v>0.86857945641652701</v>
      </c>
    </row>
    <row r="264" spans="1:7" x14ac:dyDescent="0.25">
      <c r="A264" s="58" t="s">
        <v>32</v>
      </c>
      <c r="B264" s="59">
        <v>5.2</v>
      </c>
      <c r="D264" s="3" t="s">
        <v>31</v>
      </c>
      <c r="E264" s="60">
        <f t="array" ref="E264">_xlfn.STDEV.S(IF($A$248:$A$407=D264,$B$248:$B$407))</f>
        <v>0.83669608091889158</v>
      </c>
    </row>
    <row r="265" spans="1:7" x14ac:dyDescent="0.25">
      <c r="A265" s="61" t="s">
        <v>32</v>
      </c>
      <c r="B265" s="62">
        <v>7.2</v>
      </c>
      <c r="D265" s="3" t="s">
        <v>32</v>
      </c>
      <c r="E265" s="60">
        <f t="array" ref="E265">_xlfn.STDEV.S(IF($A$248:$A$407=D265,$B$248:$B$407))</f>
        <v>1.4061981856159698</v>
      </c>
    </row>
    <row r="266" spans="1:7" x14ac:dyDescent="0.25">
      <c r="A266" s="58" t="s">
        <v>117</v>
      </c>
      <c r="B266" s="59">
        <v>6.7</v>
      </c>
    </row>
    <row r="267" spans="1:7" x14ac:dyDescent="0.25">
      <c r="A267" s="61" t="s">
        <v>31</v>
      </c>
      <c r="B267" s="62">
        <v>5.2</v>
      </c>
    </row>
    <row r="268" spans="1:7" x14ac:dyDescent="0.25">
      <c r="A268" s="58" t="s">
        <v>32</v>
      </c>
      <c r="B268" s="59">
        <v>7.9</v>
      </c>
    </row>
    <row r="269" spans="1:7" x14ac:dyDescent="0.25">
      <c r="A269" s="61" t="s">
        <v>32</v>
      </c>
      <c r="B269" s="62">
        <v>6</v>
      </c>
    </row>
    <row r="270" spans="1:7" x14ac:dyDescent="0.25">
      <c r="A270" s="58" t="s">
        <v>117</v>
      </c>
      <c r="B270" s="59">
        <v>4.2</v>
      </c>
    </row>
    <row r="271" spans="1:7" x14ac:dyDescent="0.25">
      <c r="A271" s="61" t="s">
        <v>32</v>
      </c>
      <c r="B271" s="62">
        <v>7.9</v>
      </c>
    </row>
    <row r="272" spans="1:7" x14ac:dyDescent="0.25">
      <c r="A272" s="58" t="s">
        <v>117</v>
      </c>
      <c r="B272" s="59">
        <v>6.3</v>
      </c>
    </row>
    <row r="273" spans="1:2" x14ac:dyDescent="0.25">
      <c r="A273" s="61" t="s">
        <v>32</v>
      </c>
      <c r="B273" s="62">
        <v>9.4</v>
      </c>
    </row>
    <row r="274" spans="1:2" x14ac:dyDescent="0.25">
      <c r="A274" s="58" t="s">
        <v>32</v>
      </c>
      <c r="B274" s="59">
        <v>7.4</v>
      </c>
    </row>
    <row r="275" spans="1:2" x14ac:dyDescent="0.25">
      <c r="A275" s="61" t="s">
        <v>117</v>
      </c>
      <c r="B275" s="62">
        <v>6.4</v>
      </c>
    </row>
    <row r="276" spans="1:2" x14ac:dyDescent="0.25">
      <c r="A276" s="58" t="s">
        <v>32</v>
      </c>
      <c r="B276" s="59">
        <v>9</v>
      </c>
    </row>
    <row r="277" spans="1:2" x14ac:dyDescent="0.25">
      <c r="A277" s="61" t="s">
        <v>32</v>
      </c>
      <c r="B277" s="62">
        <v>5.9</v>
      </c>
    </row>
    <row r="278" spans="1:2" x14ac:dyDescent="0.25">
      <c r="A278" s="58" t="s">
        <v>117</v>
      </c>
      <c r="B278" s="59">
        <v>6.9</v>
      </c>
    </row>
    <row r="279" spans="1:2" x14ac:dyDescent="0.25">
      <c r="A279" s="61" t="s">
        <v>31</v>
      </c>
      <c r="B279" s="62">
        <v>5.7</v>
      </c>
    </row>
    <row r="280" spans="1:2" x14ac:dyDescent="0.25">
      <c r="A280" s="58" t="s">
        <v>32</v>
      </c>
      <c r="B280" s="59">
        <v>7.1</v>
      </c>
    </row>
    <row r="281" spans="1:2" x14ac:dyDescent="0.25">
      <c r="A281" s="61" t="s">
        <v>117</v>
      </c>
      <c r="B281" s="62">
        <v>4.4000000000000004</v>
      </c>
    </row>
    <row r="282" spans="1:2" x14ac:dyDescent="0.25">
      <c r="A282" s="58" t="s">
        <v>32</v>
      </c>
      <c r="B282" s="59">
        <v>8.9</v>
      </c>
    </row>
    <row r="283" spans="1:2" x14ac:dyDescent="0.25">
      <c r="A283" s="61" t="s">
        <v>117</v>
      </c>
      <c r="B283" s="62">
        <v>6.6</v>
      </c>
    </row>
    <row r="284" spans="1:2" x14ac:dyDescent="0.25">
      <c r="A284" s="58" t="s">
        <v>32</v>
      </c>
      <c r="B284" s="59">
        <v>9.1</v>
      </c>
    </row>
    <row r="285" spans="1:2" x14ac:dyDescent="0.25">
      <c r="A285" s="61" t="s">
        <v>32</v>
      </c>
      <c r="B285" s="62">
        <v>7.2</v>
      </c>
    </row>
    <row r="286" spans="1:2" x14ac:dyDescent="0.25">
      <c r="A286" s="58" t="s">
        <v>32</v>
      </c>
      <c r="B286" s="59">
        <v>9.8000000000000007</v>
      </c>
    </row>
    <row r="287" spans="1:2" x14ac:dyDescent="0.25">
      <c r="A287" s="61" t="s">
        <v>31</v>
      </c>
      <c r="B287" s="62">
        <v>4.7</v>
      </c>
    </row>
    <row r="288" spans="1:2" x14ac:dyDescent="0.25">
      <c r="A288" s="58" t="s">
        <v>117</v>
      </c>
      <c r="B288" s="59">
        <v>6.2</v>
      </c>
    </row>
    <row r="289" spans="1:2" x14ac:dyDescent="0.25">
      <c r="A289" s="61" t="s">
        <v>32</v>
      </c>
      <c r="B289" s="62">
        <v>8.3000000000000007</v>
      </c>
    </row>
    <row r="290" spans="1:2" x14ac:dyDescent="0.25">
      <c r="A290" s="58" t="s">
        <v>32</v>
      </c>
      <c r="B290" s="59">
        <v>9.9</v>
      </c>
    </row>
    <row r="291" spans="1:2" x14ac:dyDescent="0.25">
      <c r="A291" s="61" t="s">
        <v>32</v>
      </c>
      <c r="B291" s="62">
        <v>5.7</v>
      </c>
    </row>
    <row r="292" spans="1:2" x14ac:dyDescent="0.25">
      <c r="A292" s="58" t="s">
        <v>31</v>
      </c>
      <c r="B292" s="59">
        <v>6</v>
      </c>
    </row>
    <row r="293" spans="1:2" x14ac:dyDescent="0.25">
      <c r="A293" s="61" t="s">
        <v>31</v>
      </c>
      <c r="B293" s="62">
        <v>6.8</v>
      </c>
    </row>
    <row r="294" spans="1:2" x14ac:dyDescent="0.25">
      <c r="A294" s="58" t="s">
        <v>31</v>
      </c>
      <c r="B294" s="59">
        <v>6.2</v>
      </c>
    </row>
    <row r="295" spans="1:2" x14ac:dyDescent="0.25">
      <c r="A295" s="61" t="s">
        <v>31</v>
      </c>
      <c r="B295" s="62">
        <v>4.3</v>
      </c>
    </row>
    <row r="296" spans="1:2" x14ac:dyDescent="0.25">
      <c r="A296" s="58" t="s">
        <v>117</v>
      </c>
      <c r="B296" s="59">
        <v>4.4000000000000004</v>
      </c>
    </row>
    <row r="297" spans="1:2" x14ac:dyDescent="0.25">
      <c r="A297" s="61" t="s">
        <v>31</v>
      </c>
      <c r="B297" s="62">
        <v>4.8</v>
      </c>
    </row>
    <row r="298" spans="1:2" x14ac:dyDescent="0.25">
      <c r="A298" s="58" t="s">
        <v>32</v>
      </c>
      <c r="B298" s="59">
        <v>8.9</v>
      </c>
    </row>
    <row r="299" spans="1:2" x14ac:dyDescent="0.25">
      <c r="A299" s="61" t="s">
        <v>117</v>
      </c>
      <c r="B299" s="62">
        <v>5.2</v>
      </c>
    </row>
    <row r="300" spans="1:2" x14ac:dyDescent="0.25">
      <c r="A300" s="58" t="s">
        <v>117</v>
      </c>
      <c r="B300" s="59">
        <v>5.7</v>
      </c>
    </row>
    <row r="301" spans="1:2" x14ac:dyDescent="0.25">
      <c r="A301" s="61" t="s">
        <v>32</v>
      </c>
      <c r="B301" s="62">
        <v>9.5</v>
      </c>
    </row>
    <row r="302" spans="1:2" x14ac:dyDescent="0.25">
      <c r="A302" s="58" t="s">
        <v>117</v>
      </c>
      <c r="B302" s="59">
        <v>6.1</v>
      </c>
    </row>
    <row r="303" spans="1:2" x14ac:dyDescent="0.25">
      <c r="A303" s="61" t="s">
        <v>117</v>
      </c>
      <c r="B303" s="62">
        <v>6.7</v>
      </c>
    </row>
    <row r="304" spans="1:2" x14ac:dyDescent="0.25">
      <c r="A304" s="58" t="s">
        <v>31</v>
      </c>
      <c r="B304" s="59">
        <v>5</v>
      </c>
    </row>
    <row r="305" spans="1:2" x14ac:dyDescent="0.25">
      <c r="A305" s="61" t="s">
        <v>117</v>
      </c>
      <c r="B305" s="62">
        <v>6.7</v>
      </c>
    </row>
    <row r="306" spans="1:2" x14ac:dyDescent="0.25">
      <c r="A306" s="58" t="s">
        <v>32</v>
      </c>
      <c r="B306" s="59">
        <v>7.5</v>
      </c>
    </row>
    <row r="307" spans="1:2" x14ac:dyDescent="0.25">
      <c r="A307" s="61" t="s">
        <v>117</v>
      </c>
      <c r="B307" s="62">
        <v>6.1</v>
      </c>
    </row>
    <row r="308" spans="1:2" x14ac:dyDescent="0.25">
      <c r="A308" s="58" t="s">
        <v>31</v>
      </c>
      <c r="B308" s="59">
        <v>4.2</v>
      </c>
    </row>
    <row r="309" spans="1:2" x14ac:dyDescent="0.25">
      <c r="A309" s="61" t="s">
        <v>32</v>
      </c>
      <c r="B309" s="62">
        <v>9.4</v>
      </c>
    </row>
    <row r="310" spans="1:2" x14ac:dyDescent="0.25">
      <c r="A310" s="58" t="s">
        <v>31</v>
      </c>
      <c r="B310" s="59">
        <v>6.1</v>
      </c>
    </row>
    <row r="311" spans="1:2" x14ac:dyDescent="0.25">
      <c r="A311" s="61" t="s">
        <v>117</v>
      </c>
      <c r="B311" s="62">
        <v>4.2</v>
      </c>
    </row>
    <row r="312" spans="1:2" x14ac:dyDescent="0.25">
      <c r="A312" s="58" t="s">
        <v>31</v>
      </c>
      <c r="B312" s="59">
        <v>4.3</v>
      </c>
    </row>
    <row r="313" spans="1:2" x14ac:dyDescent="0.25">
      <c r="A313" s="61" t="s">
        <v>117</v>
      </c>
      <c r="B313" s="62">
        <v>7</v>
      </c>
    </row>
    <row r="314" spans="1:2" x14ac:dyDescent="0.25">
      <c r="A314" s="58" t="s">
        <v>117</v>
      </c>
      <c r="B314" s="59">
        <v>6.1</v>
      </c>
    </row>
    <row r="315" spans="1:2" x14ac:dyDescent="0.25">
      <c r="A315" s="61" t="s">
        <v>31</v>
      </c>
      <c r="B315" s="62">
        <v>6.7</v>
      </c>
    </row>
    <row r="316" spans="1:2" x14ac:dyDescent="0.25">
      <c r="A316" s="58" t="s">
        <v>117</v>
      </c>
      <c r="B316" s="59">
        <v>6.3</v>
      </c>
    </row>
    <row r="317" spans="1:2" x14ac:dyDescent="0.25">
      <c r="A317" s="61" t="s">
        <v>31</v>
      </c>
      <c r="B317" s="62">
        <v>4.5999999999999996</v>
      </c>
    </row>
    <row r="318" spans="1:2" x14ac:dyDescent="0.25">
      <c r="A318" s="58" t="s">
        <v>32</v>
      </c>
      <c r="B318" s="59">
        <v>7.3</v>
      </c>
    </row>
    <row r="319" spans="1:2" x14ac:dyDescent="0.25">
      <c r="A319" s="61" t="s">
        <v>32</v>
      </c>
      <c r="B319" s="62">
        <v>9</v>
      </c>
    </row>
    <row r="320" spans="1:2" x14ac:dyDescent="0.25">
      <c r="A320" s="58" t="s">
        <v>31</v>
      </c>
      <c r="B320" s="59">
        <v>5.8</v>
      </c>
    </row>
    <row r="321" spans="1:2" x14ac:dyDescent="0.25">
      <c r="A321" s="61" t="s">
        <v>32</v>
      </c>
      <c r="B321" s="62">
        <v>7.4</v>
      </c>
    </row>
    <row r="322" spans="1:2" x14ac:dyDescent="0.25">
      <c r="A322" s="58" t="s">
        <v>117</v>
      </c>
      <c r="B322" s="59">
        <v>5.7</v>
      </c>
    </row>
    <row r="323" spans="1:2" x14ac:dyDescent="0.25">
      <c r="A323" s="61" t="s">
        <v>117</v>
      </c>
      <c r="B323" s="62">
        <v>5.7</v>
      </c>
    </row>
    <row r="324" spans="1:2" x14ac:dyDescent="0.25">
      <c r="A324" s="58" t="s">
        <v>32</v>
      </c>
      <c r="B324" s="59">
        <v>5.9</v>
      </c>
    </row>
    <row r="325" spans="1:2" x14ac:dyDescent="0.25">
      <c r="A325" s="61" t="s">
        <v>32</v>
      </c>
      <c r="B325" s="62">
        <v>7.8</v>
      </c>
    </row>
    <row r="326" spans="1:2" x14ac:dyDescent="0.25">
      <c r="A326" s="58" t="s">
        <v>32</v>
      </c>
      <c r="B326" s="59">
        <v>9.5</v>
      </c>
    </row>
    <row r="327" spans="1:2" x14ac:dyDescent="0.25">
      <c r="A327" s="61" t="s">
        <v>32</v>
      </c>
      <c r="B327" s="62">
        <v>9.5</v>
      </c>
    </row>
    <row r="328" spans="1:2" x14ac:dyDescent="0.25">
      <c r="A328" s="58" t="s">
        <v>31</v>
      </c>
      <c r="B328" s="59">
        <v>4.2</v>
      </c>
    </row>
    <row r="329" spans="1:2" x14ac:dyDescent="0.25">
      <c r="A329" s="61" t="s">
        <v>31</v>
      </c>
      <c r="B329" s="62">
        <v>4.5999999999999996</v>
      </c>
    </row>
    <row r="330" spans="1:2" x14ac:dyDescent="0.25">
      <c r="A330" s="58" t="s">
        <v>31</v>
      </c>
      <c r="B330" s="59">
        <v>4</v>
      </c>
    </row>
    <row r="331" spans="1:2" x14ac:dyDescent="0.25">
      <c r="A331" s="61" t="s">
        <v>117</v>
      </c>
      <c r="B331" s="62">
        <v>6</v>
      </c>
    </row>
    <row r="332" spans="1:2" x14ac:dyDescent="0.25">
      <c r="A332" s="58" t="s">
        <v>31</v>
      </c>
      <c r="B332" s="59">
        <v>4.5</v>
      </c>
    </row>
    <row r="333" spans="1:2" x14ac:dyDescent="0.25">
      <c r="A333" s="61" t="s">
        <v>32</v>
      </c>
      <c r="B333" s="62">
        <v>6.7</v>
      </c>
    </row>
    <row r="334" spans="1:2" x14ac:dyDescent="0.25">
      <c r="A334" s="58" t="s">
        <v>32</v>
      </c>
      <c r="B334" s="59">
        <v>7.6</v>
      </c>
    </row>
    <row r="335" spans="1:2" x14ac:dyDescent="0.25">
      <c r="A335" s="61" t="s">
        <v>117</v>
      </c>
      <c r="B335" s="62">
        <v>6.8</v>
      </c>
    </row>
    <row r="336" spans="1:2" x14ac:dyDescent="0.25">
      <c r="A336" s="58" t="s">
        <v>32</v>
      </c>
      <c r="B336" s="59">
        <v>10</v>
      </c>
    </row>
    <row r="337" spans="1:2" x14ac:dyDescent="0.25">
      <c r="A337" s="61" t="s">
        <v>31</v>
      </c>
      <c r="B337" s="62">
        <v>4.8</v>
      </c>
    </row>
    <row r="338" spans="1:2" x14ac:dyDescent="0.25">
      <c r="A338" s="58" t="s">
        <v>32</v>
      </c>
      <c r="B338" s="59">
        <v>6.1</v>
      </c>
    </row>
    <row r="339" spans="1:2" x14ac:dyDescent="0.25">
      <c r="A339" s="61" t="s">
        <v>32</v>
      </c>
      <c r="B339" s="62">
        <v>7.6</v>
      </c>
    </row>
    <row r="340" spans="1:2" x14ac:dyDescent="0.25">
      <c r="A340" s="58" t="s">
        <v>32</v>
      </c>
      <c r="B340" s="59">
        <v>8.1999999999999993</v>
      </c>
    </row>
    <row r="341" spans="1:2" x14ac:dyDescent="0.25">
      <c r="A341" s="61" t="s">
        <v>31</v>
      </c>
      <c r="B341" s="62">
        <v>5.4</v>
      </c>
    </row>
    <row r="342" spans="1:2" x14ac:dyDescent="0.25">
      <c r="A342" s="58" t="s">
        <v>117</v>
      </c>
      <c r="B342" s="59">
        <v>6.9</v>
      </c>
    </row>
    <row r="343" spans="1:2" x14ac:dyDescent="0.25">
      <c r="A343" s="61" t="s">
        <v>117</v>
      </c>
      <c r="B343" s="62">
        <v>6.3</v>
      </c>
    </row>
    <row r="344" spans="1:2" x14ac:dyDescent="0.25">
      <c r="A344" s="58" t="s">
        <v>31</v>
      </c>
      <c r="B344" s="59">
        <v>6.1</v>
      </c>
    </row>
    <row r="345" spans="1:2" x14ac:dyDescent="0.25">
      <c r="A345" s="61" t="s">
        <v>31</v>
      </c>
      <c r="B345" s="62">
        <v>6.8</v>
      </c>
    </row>
    <row r="346" spans="1:2" x14ac:dyDescent="0.25">
      <c r="A346" s="58" t="s">
        <v>31</v>
      </c>
      <c r="B346" s="59">
        <v>4.0999999999999996</v>
      </c>
    </row>
    <row r="347" spans="1:2" x14ac:dyDescent="0.25">
      <c r="A347" s="61" t="s">
        <v>32</v>
      </c>
      <c r="B347" s="62">
        <v>5.9</v>
      </c>
    </row>
    <row r="348" spans="1:2" x14ac:dyDescent="0.25">
      <c r="A348" s="58" t="s">
        <v>31</v>
      </c>
      <c r="B348" s="59">
        <v>4.7</v>
      </c>
    </row>
    <row r="349" spans="1:2" x14ac:dyDescent="0.25">
      <c r="A349" s="61" t="s">
        <v>31</v>
      </c>
      <c r="B349" s="62">
        <v>5.4</v>
      </c>
    </row>
    <row r="350" spans="1:2" x14ac:dyDescent="0.25">
      <c r="A350" s="58" t="s">
        <v>32</v>
      </c>
      <c r="B350" s="59">
        <v>7</v>
      </c>
    </row>
    <row r="351" spans="1:2" x14ac:dyDescent="0.25">
      <c r="A351" s="61" t="s">
        <v>31</v>
      </c>
      <c r="B351" s="62">
        <v>5.0999999999999996</v>
      </c>
    </row>
    <row r="352" spans="1:2" x14ac:dyDescent="0.25">
      <c r="A352" s="58" t="s">
        <v>31</v>
      </c>
      <c r="B352" s="59">
        <v>5.0999999999999996</v>
      </c>
    </row>
    <row r="353" spans="1:2" x14ac:dyDescent="0.25">
      <c r="A353" s="61" t="s">
        <v>31</v>
      </c>
      <c r="B353" s="62">
        <v>5.8</v>
      </c>
    </row>
    <row r="354" spans="1:2" x14ac:dyDescent="0.25">
      <c r="A354" s="58" t="s">
        <v>31</v>
      </c>
      <c r="B354" s="59">
        <v>5.7</v>
      </c>
    </row>
    <row r="355" spans="1:2" x14ac:dyDescent="0.25">
      <c r="A355" s="61" t="s">
        <v>32</v>
      </c>
      <c r="B355" s="62">
        <v>5.8</v>
      </c>
    </row>
    <row r="356" spans="1:2" x14ac:dyDescent="0.25">
      <c r="A356" s="58" t="s">
        <v>117</v>
      </c>
      <c r="B356" s="59">
        <v>5.6</v>
      </c>
    </row>
    <row r="357" spans="1:2" x14ac:dyDescent="0.25">
      <c r="A357" s="61" t="s">
        <v>117</v>
      </c>
      <c r="B357" s="62">
        <v>4.8</v>
      </c>
    </row>
    <row r="358" spans="1:2" x14ac:dyDescent="0.25">
      <c r="A358" s="58" t="s">
        <v>32</v>
      </c>
      <c r="B358" s="59">
        <v>5.4</v>
      </c>
    </row>
    <row r="359" spans="1:2" x14ac:dyDescent="0.25">
      <c r="A359" s="61" t="s">
        <v>117</v>
      </c>
      <c r="B359" s="62">
        <v>5.7</v>
      </c>
    </row>
    <row r="360" spans="1:2" x14ac:dyDescent="0.25">
      <c r="A360" s="58" t="s">
        <v>117</v>
      </c>
      <c r="B360" s="59">
        <v>5.2</v>
      </c>
    </row>
    <row r="361" spans="1:2" x14ac:dyDescent="0.25">
      <c r="A361" s="61" t="s">
        <v>117</v>
      </c>
      <c r="B361" s="62">
        <v>6.5</v>
      </c>
    </row>
    <row r="362" spans="1:2" x14ac:dyDescent="0.25">
      <c r="A362" s="58" t="s">
        <v>31</v>
      </c>
      <c r="B362" s="59">
        <v>4.9000000000000004</v>
      </c>
    </row>
    <row r="363" spans="1:2" x14ac:dyDescent="0.25">
      <c r="A363" s="61" t="s">
        <v>32</v>
      </c>
      <c r="B363" s="62">
        <v>8.6999999999999993</v>
      </c>
    </row>
    <row r="364" spans="1:2" x14ac:dyDescent="0.25">
      <c r="A364" s="58" t="s">
        <v>32</v>
      </c>
      <c r="B364" s="59">
        <v>9.6999999999999993</v>
      </c>
    </row>
    <row r="365" spans="1:2" x14ac:dyDescent="0.25">
      <c r="A365" s="61" t="s">
        <v>117</v>
      </c>
      <c r="B365" s="62">
        <v>5.5</v>
      </c>
    </row>
    <row r="366" spans="1:2" x14ac:dyDescent="0.25">
      <c r="A366" s="58" t="s">
        <v>32</v>
      </c>
      <c r="B366" s="59">
        <v>6.2</v>
      </c>
    </row>
    <row r="367" spans="1:2" x14ac:dyDescent="0.25">
      <c r="A367" s="61" t="s">
        <v>117</v>
      </c>
      <c r="B367" s="62">
        <v>4.2</v>
      </c>
    </row>
    <row r="368" spans="1:2" x14ac:dyDescent="0.25">
      <c r="A368" s="58" t="s">
        <v>32</v>
      </c>
      <c r="B368" s="59">
        <v>8</v>
      </c>
    </row>
    <row r="369" spans="1:2" x14ac:dyDescent="0.25">
      <c r="A369" s="61" t="s">
        <v>31</v>
      </c>
      <c r="B369" s="62">
        <v>5.7</v>
      </c>
    </row>
    <row r="370" spans="1:2" x14ac:dyDescent="0.25">
      <c r="A370" s="58" t="s">
        <v>31</v>
      </c>
      <c r="B370" s="59">
        <v>5</v>
      </c>
    </row>
    <row r="371" spans="1:2" x14ac:dyDescent="0.25">
      <c r="A371" s="61" t="s">
        <v>32</v>
      </c>
      <c r="B371" s="62">
        <v>8.6</v>
      </c>
    </row>
    <row r="372" spans="1:2" x14ac:dyDescent="0.25">
      <c r="A372" s="58" t="s">
        <v>32</v>
      </c>
      <c r="B372" s="59">
        <v>9.3000000000000007</v>
      </c>
    </row>
    <row r="373" spans="1:2" x14ac:dyDescent="0.25">
      <c r="A373" s="61" t="s">
        <v>117</v>
      </c>
      <c r="B373" s="62">
        <v>4.5999999999999996</v>
      </c>
    </row>
    <row r="374" spans="1:2" x14ac:dyDescent="0.25">
      <c r="A374" s="58" t="s">
        <v>31</v>
      </c>
      <c r="B374" s="59">
        <v>5.0999999999999996</v>
      </c>
    </row>
    <row r="375" spans="1:2" x14ac:dyDescent="0.25">
      <c r="A375" s="61" t="s">
        <v>117</v>
      </c>
      <c r="B375" s="62">
        <v>5</v>
      </c>
    </row>
    <row r="376" spans="1:2" x14ac:dyDescent="0.25">
      <c r="A376" s="58" t="s">
        <v>31</v>
      </c>
      <c r="B376" s="59">
        <v>5.4</v>
      </c>
    </row>
    <row r="377" spans="1:2" x14ac:dyDescent="0.25">
      <c r="A377" s="61" t="s">
        <v>117</v>
      </c>
      <c r="B377" s="62">
        <v>6.5</v>
      </c>
    </row>
    <row r="378" spans="1:2" x14ac:dyDescent="0.25">
      <c r="A378" s="58" t="s">
        <v>117</v>
      </c>
      <c r="B378" s="59">
        <v>4.3</v>
      </c>
    </row>
    <row r="379" spans="1:2" x14ac:dyDescent="0.25">
      <c r="A379" s="61" t="s">
        <v>32</v>
      </c>
      <c r="B379" s="62">
        <v>8.5</v>
      </c>
    </row>
    <row r="380" spans="1:2" x14ac:dyDescent="0.25">
      <c r="A380" s="58" t="s">
        <v>117</v>
      </c>
      <c r="B380" s="59">
        <v>5</v>
      </c>
    </row>
    <row r="381" spans="1:2" x14ac:dyDescent="0.25">
      <c r="A381" s="61" t="s">
        <v>32</v>
      </c>
      <c r="B381" s="62">
        <v>5.8</v>
      </c>
    </row>
    <row r="382" spans="1:2" x14ac:dyDescent="0.25">
      <c r="A382" s="58" t="s">
        <v>31</v>
      </c>
      <c r="B382" s="59">
        <v>4.8</v>
      </c>
    </row>
    <row r="383" spans="1:2" x14ac:dyDescent="0.25">
      <c r="A383" s="61" t="s">
        <v>31</v>
      </c>
      <c r="B383" s="62">
        <v>4.2</v>
      </c>
    </row>
    <row r="384" spans="1:2" x14ac:dyDescent="0.25">
      <c r="A384" s="58" t="s">
        <v>31</v>
      </c>
      <c r="B384" s="59">
        <v>5.6</v>
      </c>
    </row>
    <row r="385" spans="1:2" x14ac:dyDescent="0.25">
      <c r="A385" s="61" t="s">
        <v>117</v>
      </c>
      <c r="B385" s="62">
        <v>6.6</v>
      </c>
    </row>
    <row r="386" spans="1:2" x14ac:dyDescent="0.25">
      <c r="A386" s="58" t="s">
        <v>117</v>
      </c>
      <c r="B386" s="59">
        <v>6.6</v>
      </c>
    </row>
    <row r="387" spans="1:2" x14ac:dyDescent="0.25">
      <c r="A387" s="61" t="s">
        <v>32</v>
      </c>
      <c r="B387" s="62">
        <v>9.3000000000000007</v>
      </c>
    </row>
    <row r="388" spans="1:2" x14ac:dyDescent="0.25">
      <c r="A388" s="58" t="s">
        <v>31</v>
      </c>
      <c r="B388" s="59">
        <v>6.8</v>
      </c>
    </row>
    <row r="389" spans="1:2" x14ac:dyDescent="0.25">
      <c r="A389" s="61" t="s">
        <v>32</v>
      </c>
      <c r="B389" s="62">
        <v>7.6</v>
      </c>
    </row>
    <row r="390" spans="1:2" x14ac:dyDescent="0.25">
      <c r="A390" s="58" t="s">
        <v>117</v>
      </c>
      <c r="B390" s="59">
        <v>6.4</v>
      </c>
    </row>
    <row r="391" spans="1:2" x14ac:dyDescent="0.25">
      <c r="A391" s="61" t="s">
        <v>117</v>
      </c>
      <c r="B391" s="62">
        <v>5.4</v>
      </c>
    </row>
    <row r="392" spans="1:2" x14ac:dyDescent="0.25">
      <c r="A392" s="58" t="s">
        <v>117</v>
      </c>
      <c r="B392" s="59">
        <v>6.5</v>
      </c>
    </row>
    <row r="393" spans="1:2" x14ac:dyDescent="0.25">
      <c r="A393" s="61" t="s">
        <v>32</v>
      </c>
      <c r="B393" s="62">
        <v>8.1</v>
      </c>
    </row>
    <row r="394" spans="1:2" x14ac:dyDescent="0.25">
      <c r="A394" s="58" t="s">
        <v>32</v>
      </c>
      <c r="B394" s="59">
        <v>6.7</v>
      </c>
    </row>
    <row r="395" spans="1:2" x14ac:dyDescent="0.25">
      <c r="A395" s="61" t="s">
        <v>32</v>
      </c>
      <c r="B395" s="62">
        <v>7.5</v>
      </c>
    </row>
    <row r="396" spans="1:2" x14ac:dyDescent="0.25">
      <c r="A396" s="58" t="s">
        <v>117</v>
      </c>
      <c r="B396" s="59">
        <v>7</v>
      </c>
    </row>
    <row r="397" spans="1:2" x14ac:dyDescent="0.25">
      <c r="A397" s="61" t="s">
        <v>32</v>
      </c>
      <c r="B397" s="62">
        <v>9.6</v>
      </c>
    </row>
    <row r="398" spans="1:2" x14ac:dyDescent="0.25">
      <c r="A398" s="58" t="s">
        <v>31</v>
      </c>
      <c r="B398" s="59">
        <v>6.8</v>
      </c>
    </row>
    <row r="399" spans="1:2" x14ac:dyDescent="0.25">
      <c r="A399" s="61" t="s">
        <v>31</v>
      </c>
      <c r="B399" s="62">
        <v>4.2</v>
      </c>
    </row>
    <row r="400" spans="1:2" x14ac:dyDescent="0.25">
      <c r="A400" s="58" t="s">
        <v>31</v>
      </c>
      <c r="B400" s="59">
        <v>4.4000000000000004</v>
      </c>
    </row>
    <row r="401" spans="1:6" x14ac:dyDescent="0.25">
      <c r="A401" s="61" t="s">
        <v>32</v>
      </c>
      <c r="B401" s="62">
        <v>8.6</v>
      </c>
    </row>
    <row r="402" spans="1:6" x14ac:dyDescent="0.25">
      <c r="A402" s="58" t="s">
        <v>31</v>
      </c>
      <c r="B402" s="59">
        <v>5.3</v>
      </c>
    </row>
    <row r="403" spans="1:6" x14ac:dyDescent="0.25">
      <c r="A403" s="61" t="s">
        <v>31</v>
      </c>
      <c r="B403" s="62">
        <v>6.5</v>
      </c>
    </row>
    <row r="404" spans="1:6" x14ac:dyDescent="0.25">
      <c r="A404" s="58" t="s">
        <v>117</v>
      </c>
      <c r="B404" s="59">
        <v>6.6</v>
      </c>
    </row>
    <row r="405" spans="1:6" x14ac:dyDescent="0.25">
      <c r="A405" s="61" t="s">
        <v>117</v>
      </c>
      <c r="B405" s="62">
        <v>6.8</v>
      </c>
    </row>
    <row r="406" spans="1:6" x14ac:dyDescent="0.25">
      <c r="A406" s="58" t="s">
        <v>117</v>
      </c>
      <c r="B406" s="59">
        <v>6.6</v>
      </c>
    </row>
    <row r="407" spans="1:6" x14ac:dyDescent="0.25">
      <c r="A407" s="69" t="s">
        <v>117</v>
      </c>
      <c r="B407" s="69">
        <v>4.9000000000000004</v>
      </c>
    </row>
    <row r="413" spans="1:6" x14ac:dyDescent="0.25">
      <c r="A413" s="7" t="s">
        <v>339</v>
      </c>
      <c r="B413" s="8"/>
      <c r="C413" s="8"/>
      <c r="D413" s="8"/>
      <c r="E413" s="8"/>
      <c r="F413" s="9"/>
    </row>
    <row r="414" spans="1:6" x14ac:dyDescent="0.25">
      <c r="A414" s="27" t="s">
        <v>134</v>
      </c>
      <c r="B414" s="14"/>
      <c r="C414" s="14"/>
      <c r="D414" s="14"/>
      <c r="E414" s="14"/>
      <c r="F414" s="15"/>
    </row>
    <row r="416" spans="1:6" x14ac:dyDescent="0.25">
      <c r="A416" s="64" t="s">
        <v>133</v>
      </c>
      <c r="B416" s="66"/>
    </row>
    <row r="417" spans="1:4" x14ac:dyDescent="0.25">
      <c r="A417" s="69" t="s">
        <v>41</v>
      </c>
      <c r="B417" s="67">
        <v>0.46455983312744287</v>
      </c>
    </row>
    <row r="418" spans="1:4" x14ac:dyDescent="0.25">
      <c r="A418" s="69" t="s">
        <v>50</v>
      </c>
      <c r="B418" s="67">
        <v>0.19478928289353775</v>
      </c>
    </row>
    <row r="419" spans="1:4" x14ac:dyDescent="0.25">
      <c r="A419" s="69" t="s">
        <v>51</v>
      </c>
      <c r="B419" s="67">
        <v>0.15438749265882257</v>
      </c>
    </row>
    <row r="420" spans="1:4" x14ac:dyDescent="0.25">
      <c r="A420" s="69" t="s">
        <v>52</v>
      </c>
      <c r="B420" s="67">
        <v>4.0371412948824396E-2</v>
      </c>
    </row>
    <row r="421" spans="1:4" x14ac:dyDescent="0.25">
      <c r="A421" s="70" t="s">
        <v>44</v>
      </c>
      <c r="B421" s="29">
        <v>65487</v>
      </c>
    </row>
    <row r="422" spans="1:4" x14ac:dyDescent="0.25">
      <c r="A422" s="70" t="s">
        <v>45</v>
      </c>
      <c r="B422" s="29">
        <v>75894</v>
      </c>
    </row>
    <row r="423" spans="1:4" x14ac:dyDescent="0.25">
      <c r="A423" s="70" t="s">
        <v>46</v>
      </c>
      <c r="B423" s="29">
        <v>65007</v>
      </c>
    </row>
    <row r="425" spans="1:4" x14ac:dyDescent="0.25">
      <c r="A425" s="3" t="s">
        <v>54</v>
      </c>
      <c r="B425" s="31">
        <f t="array" ref="B425">SUM(B421:B423)-SUM(ROUND(TRANSPOSE(B421:B423)*B417:B420,2))</f>
        <v>30110.360000000015</v>
      </c>
      <c r="D425" t="s">
        <v>135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H49"/>
  <sheetViews>
    <sheetView topLeftCell="A7" zoomScaleNormal="100" workbookViewId="0">
      <selection activeCell="B16" sqref="B16"/>
    </sheetView>
  </sheetViews>
  <sheetFormatPr defaultRowHeight="15" x14ac:dyDescent="0.25"/>
  <cols>
    <col min="1" max="1" width="10.7109375" customWidth="1"/>
    <col min="2" max="2" width="31.42578125" customWidth="1"/>
    <col min="3" max="3" width="16" customWidth="1"/>
    <col min="4" max="4" width="8" customWidth="1"/>
    <col min="5" max="5" width="29.42578125" customWidth="1"/>
    <col min="6" max="6" width="103" customWidth="1"/>
    <col min="7" max="7" width="2" bestFit="1" customWidth="1"/>
    <col min="8" max="8" width="33.42578125" customWidth="1"/>
    <col min="9" max="9" width="2" bestFit="1" customWidth="1"/>
    <col min="10" max="10" width="106.5703125" bestFit="1" customWidth="1"/>
    <col min="11" max="11" width="2" bestFit="1" customWidth="1"/>
    <col min="12" max="12" width="34.140625" bestFit="1" customWidth="1"/>
  </cols>
  <sheetData>
    <row r="1" spans="1:8" x14ac:dyDescent="0.25">
      <c r="A1" s="1" t="s">
        <v>43</v>
      </c>
      <c r="B1" s="28" t="s">
        <v>44</v>
      </c>
      <c r="C1" s="28" t="s">
        <v>45</v>
      </c>
      <c r="D1" s="28" t="s">
        <v>46</v>
      </c>
      <c r="E1" s="94"/>
    </row>
    <row r="2" spans="1:8" x14ac:dyDescent="0.25">
      <c r="A2" s="1" t="s">
        <v>49</v>
      </c>
      <c r="B2" s="92">
        <v>100</v>
      </c>
      <c r="C2" s="92">
        <v>150</v>
      </c>
      <c r="D2" s="92">
        <v>200</v>
      </c>
      <c r="E2" s="95"/>
    </row>
    <row r="4" spans="1:8" x14ac:dyDescent="0.25">
      <c r="A4" s="34" t="s">
        <v>56</v>
      </c>
      <c r="B4" s="35"/>
      <c r="D4" s="1" t="s">
        <v>285</v>
      </c>
    </row>
    <row r="5" spans="1:8" x14ac:dyDescent="0.25">
      <c r="A5" s="3" t="s">
        <v>41</v>
      </c>
      <c r="B5" s="36">
        <v>0.5</v>
      </c>
      <c r="D5" s="3">
        <v>100</v>
      </c>
    </row>
    <row r="6" spans="1:8" x14ac:dyDescent="0.25">
      <c r="A6" s="3" t="s">
        <v>50</v>
      </c>
      <c r="B6" s="36">
        <v>0.2</v>
      </c>
      <c r="D6" s="3">
        <v>100</v>
      </c>
    </row>
    <row r="7" spans="1:8" x14ac:dyDescent="0.25">
      <c r="A7" s="3" t="s">
        <v>297</v>
      </c>
      <c r="B7" s="36">
        <v>0.1</v>
      </c>
      <c r="D7" s="3">
        <v>100</v>
      </c>
    </row>
    <row r="8" spans="1:8" x14ac:dyDescent="0.25">
      <c r="A8" s="3" t="s">
        <v>52</v>
      </c>
      <c r="B8" s="36">
        <v>0.05</v>
      </c>
      <c r="D8" s="3">
        <v>100</v>
      </c>
    </row>
    <row r="10" spans="1:8" x14ac:dyDescent="0.25">
      <c r="A10" s="1" t="s">
        <v>273</v>
      </c>
      <c r="B10" s="1" t="s">
        <v>274</v>
      </c>
      <c r="C10" s="1" t="s">
        <v>275</v>
      </c>
      <c r="D10" s="1"/>
      <c r="E10" s="1" t="s">
        <v>284</v>
      </c>
      <c r="F10" s="1" t="s">
        <v>276</v>
      </c>
      <c r="G10" s="1"/>
      <c r="H10" s="1" t="s">
        <v>277</v>
      </c>
    </row>
    <row r="11" spans="1:8" x14ac:dyDescent="0.25">
      <c r="A11" s="18">
        <f>SUMPRODUCT(B2*B5:B8)</f>
        <v>85</v>
      </c>
      <c r="B11" s="3" t="str">
        <f ca="1">_xlfn.FORMULATEXT(A11)</f>
        <v>=SUMPRODUCT(B2*B5:B8)</v>
      </c>
      <c r="C11" s="3" t="str">
        <f ca="1">MID(B11,SEARCH("(",B11)+1,SEARCH(")",B11)-SEARCH("(",B11)-1)</f>
        <v>B2*B5:B8</v>
      </c>
      <c r="D11" s="93" t="s">
        <v>271</v>
      </c>
      <c r="E11" s="93" t="s">
        <v>280</v>
      </c>
      <c r="F11" s="3" t="s">
        <v>293</v>
      </c>
      <c r="G11" s="93" t="s">
        <v>271</v>
      </c>
      <c r="H11" s="3" t="s">
        <v>270</v>
      </c>
    </row>
    <row r="12" spans="1:8" x14ac:dyDescent="0.25">
      <c r="A12" s="18">
        <f>SUMPRODUCT(B5:B8*B2)</f>
        <v>85</v>
      </c>
      <c r="B12" s="3" t="str">
        <f t="shared" ref="B12:B18" ca="1" si="0">_xlfn.FORMULATEXT(A12)</f>
        <v>=SUMPRODUCT(B5:B8*B2)</v>
      </c>
      <c r="C12" s="3" t="str">
        <f t="shared" ref="C12:C18" ca="1" si="1">MID(B12,SEARCH("(",B12)+1,SEARCH(")",B12)-SEARCH("(",B12)-1)</f>
        <v>B5:B8*B2</v>
      </c>
      <c r="D12" s="93" t="s">
        <v>271</v>
      </c>
      <c r="E12" s="93" t="s">
        <v>279</v>
      </c>
      <c r="F12" s="3" t="s">
        <v>294</v>
      </c>
      <c r="G12" s="93" t="s">
        <v>271</v>
      </c>
      <c r="H12" s="3" t="s">
        <v>270</v>
      </c>
    </row>
    <row r="13" spans="1:8" x14ac:dyDescent="0.25">
      <c r="A13" s="18">
        <f>SUMPRODUCT(B5:B8*B2:D2)</f>
        <v>382.5</v>
      </c>
      <c r="B13" s="3" t="str">
        <f t="shared" ca="1" si="0"/>
        <v>=SUMPRODUCT(B5:B8*B2:D2)</v>
      </c>
      <c r="C13" s="3" t="str">
        <f t="shared" ca="1" si="1"/>
        <v>B5:B8*B2:D2</v>
      </c>
      <c r="D13" s="93" t="s">
        <v>271</v>
      </c>
      <c r="E13" s="93" t="s">
        <v>281</v>
      </c>
      <c r="F13" s="3" t="s">
        <v>295</v>
      </c>
      <c r="G13" s="93" t="s">
        <v>271</v>
      </c>
      <c r="H13" s="3" t="s">
        <v>272</v>
      </c>
    </row>
    <row r="14" spans="1:8" x14ac:dyDescent="0.25">
      <c r="A14" s="18">
        <f>SUMPRODUCT(B2:D2*B5:B8)</f>
        <v>382.5</v>
      </c>
      <c r="B14" s="3" t="str">
        <f t="shared" ca="1" si="0"/>
        <v>=SUMPRODUCT(B2:D2*B5:B8)</v>
      </c>
      <c r="C14" s="3" t="str">
        <f t="shared" ca="1" si="1"/>
        <v>B2:D2*B5:B8</v>
      </c>
      <c r="D14" s="93" t="s">
        <v>271</v>
      </c>
      <c r="E14" s="93" t="s">
        <v>282</v>
      </c>
      <c r="F14" s="3" t="s">
        <v>296</v>
      </c>
      <c r="G14" s="93" t="s">
        <v>271</v>
      </c>
      <c r="H14" s="3" t="s">
        <v>272</v>
      </c>
    </row>
    <row r="15" spans="1:8" x14ac:dyDescent="0.25">
      <c r="A15" s="18">
        <f>SUMPRODUCT(B5:B8*D5:D8)</f>
        <v>85</v>
      </c>
      <c r="B15" s="3" t="str">
        <f t="shared" ca="1" si="0"/>
        <v>=SUMPRODUCT(B5:B8*D5:D8)</v>
      </c>
      <c r="C15" s="3" t="str">
        <f t="shared" ca="1" si="1"/>
        <v>B5:B8*D5:D8</v>
      </c>
      <c r="D15" s="93" t="s">
        <v>271</v>
      </c>
      <c r="E15" s="93" t="s">
        <v>283</v>
      </c>
      <c r="F15" s="3" t="s">
        <v>294</v>
      </c>
      <c r="G15" s="93" t="s">
        <v>271</v>
      </c>
      <c r="H15" s="3" t="s">
        <v>270</v>
      </c>
    </row>
    <row r="16" spans="1:8" x14ac:dyDescent="0.25">
      <c r="A16" s="18">
        <f>SUMPRODUCT(A21:D21*A23:D23)</f>
        <v>85</v>
      </c>
      <c r="B16" s="3" t="str">
        <f t="shared" ca="1" si="0"/>
        <v>=SUMPRODUCT(A21:D21*A23:D23)</v>
      </c>
      <c r="C16" s="3" t="str">
        <f t="shared" ca="1" si="1"/>
        <v>A21:D21*A23:D23</v>
      </c>
      <c r="D16" s="93" t="s">
        <v>271</v>
      </c>
      <c r="E16" s="93" t="s">
        <v>286</v>
      </c>
      <c r="F16" s="3" t="s">
        <v>294</v>
      </c>
      <c r="G16" s="93" t="s">
        <v>271</v>
      </c>
      <c r="H16" s="3" t="s">
        <v>287</v>
      </c>
    </row>
    <row r="17" spans="1:8" ht="30" x14ac:dyDescent="0.25">
      <c r="A17" s="18" t="e">
        <f>SUMPRODUCT(B5:B7*D5:D8)</f>
        <v>#N/A</v>
      </c>
      <c r="B17" s="3" t="str">
        <f t="shared" ca="1" si="0"/>
        <v>=SUMPRODUCT(B5:B7*D5:D8)</v>
      </c>
      <c r="C17" s="3" t="str">
        <f t="shared" ca="1" si="1"/>
        <v>B5:B7*D5:D8</v>
      </c>
      <c r="D17" s="93" t="s">
        <v>271</v>
      </c>
      <c r="E17" s="98" t="s">
        <v>288</v>
      </c>
      <c r="F17" s="3" t="s">
        <v>278</v>
      </c>
      <c r="G17" s="93" t="s">
        <v>271</v>
      </c>
      <c r="H17" s="3" t="s">
        <v>289</v>
      </c>
    </row>
    <row r="18" spans="1:8" ht="45" x14ac:dyDescent="0.25">
      <c r="A18" s="18" t="e">
        <f>SUMPRODUCT(A21:C21*A23:D23)</f>
        <v>#N/A</v>
      </c>
      <c r="B18" s="3" t="str">
        <f t="shared" ca="1" si="0"/>
        <v>=SUMPRODUCT(A21:C21*A23:D23)</v>
      </c>
      <c r="C18" s="3" t="str">
        <f t="shared" ca="1" si="1"/>
        <v>A21:C21*A23:D23</v>
      </c>
      <c r="D18" s="93" t="s">
        <v>271</v>
      </c>
      <c r="E18" s="98" t="s">
        <v>290</v>
      </c>
      <c r="F18" s="3" t="s">
        <v>278</v>
      </c>
      <c r="G18" s="93" t="s">
        <v>271</v>
      </c>
      <c r="H18" s="3" t="s">
        <v>291</v>
      </c>
    </row>
    <row r="20" spans="1:8" x14ac:dyDescent="0.25">
      <c r="A20" s="97" t="s">
        <v>41</v>
      </c>
      <c r="B20" s="97" t="s">
        <v>50</v>
      </c>
      <c r="C20" s="97" t="s">
        <v>297</v>
      </c>
      <c r="D20" s="97" t="s">
        <v>52</v>
      </c>
    </row>
    <row r="21" spans="1:8" x14ac:dyDescent="0.25">
      <c r="A21" s="36">
        <v>0.5</v>
      </c>
      <c r="B21" s="36">
        <v>0.2</v>
      </c>
      <c r="C21" s="36">
        <v>0.1</v>
      </c>
      <c r="D21" s="36">
        <v>0.05</v>
      </c>
    </row>
    <row r="22" spans="1:8" x14ac:dyDescent="0.25">
      <c r="A22" s="1" t="s">
        <v>285</v>
      </c>
      <c r="B22" s="96"/>
      <c r="C22" s="96"/>
      <c r="D22" s="96"/>
    </row>
    <row r="23" spans="1:8" x14ac:dyDescent="0.25">
      <c r="A23" s="92">
        <v>100</v>
      </c>
      <c r="B23" s="92">
        <v>100</v>
      </c>
      <c r="C23" s="92">
        <v>100</v>
      </c>
      <c r="D23" s="92">
        <v>100</v>
      </c>
    </row>
    <row r="30" spans="1:8" x14ac:dyDescent="0.25">
      <c r="A30" s="96"/>
      <c r="B30" s="96"/>
      <c r="C30" s="96"/>
      <c r="D30" s="96"/>
    </row>
    <row r="31" spans="1:8" x14ac:dyDescent="0.25">
      <c r="A31" s="96"/>
      <c r="B31" s="96"/>
      <c r="C31" s="96"/>
      <c r="D31" s="96"/>
    </row>
    <row r="32" spans="1:8" x14ac:dyDescent="0.25">
      <c r="F32" t="s">
        <v>292</v>
      </c>
    </row>
    <row r="33" spans="1:3" x14ac:dyDescent="0.25">
      <c r="A33" t="str">
        <f t="shared" ref="A33:C36" si="2">B$2&amp;"*"&amp;$B5</f>
        <v>100*0.5</v>
      </c>
      <c r="B33" t="str">
        <f t="shared" si="2"/>
        <v>150*0.5</v>
      </c>
      <c r="C33" t="str">
        <f t="shared" si="2"/>
        <v>200*0.5</v>
      </c>
    </row>
    <row r="34" spans="1:3" x14ac:dyDescent="0.25">
      <c r="A34" t="str">
        <f t="shared" si="2"/>
        <v>100*0.2</v>
      </c>
      <c r="B34" t="str">
        <f t="shared" si="2"/>
        <v>150*0.2</v>
      </c>
      <c r="C34" t="str">
        <f t="shared" si="2"/>
        <v>200*0.2</v>
      </c>
    </row>
    <row r="35" spans="1:3" x14ac:dyDescent="0.25">
      <c r="A35" t="str">
        <f t="shared" si="2"/>
        <v>100*0.1</v>
      </c>
      <c r="B35" t="str">
        <f t="shared" si="2"/>
        <v>150*0.1</v>
      </c>
      <c r="C35" t="str">
        <f t="shared" si="2"/>
        <v>200*0.1</v>
      </c>
    </row>
    <row r="36" spans="1:3" x14ac:dyDescent="0.25">
      <c r="A36" t="str">
        <f t="shared" si="2"/>
        <v>100*0.05</v>
      </c>
      <c r="B36" t="str">
        <f t="shared" si="2"/>
        <v>150*0.05</v>
      </c>
      <c r="C36" t="str">
        <f t="shared" si="2"/>
        <v>200*0.05</v>
      </c>
    </row>
    <row r="38" spans="1:3" x14ac:dyDescent="0.25">
      <c r="A38" t="str">
        <f t="shared" ref="A38:C41" si="3">$B5&amp;"*"&amp;B$2</f>
        <v>0.5*100</v>
      </c>
      <c r="B38" t="str">
        <f t="shared" si="3"/>
        <v>0.5*150</v>
      </c>
      <c r="C38" t="str">
        <f t="shared" si="3"/>
        <v>0.5*200</v>
      </c>
    </row>
    <row r="39" spans="1:3" x14ac:dyDescent="0.25">
      <c r="A39" t="str">
        <f t="shared" si="3"/>
        <v>0.2*100</v>
      </c>
      <c r="B39" t="str">
        <f t="shared" si="3"/>
        <v>0.2*150</v>
      </c>
      <c r="C39" t="str">
        <f t="shared" si="3"/>
        <v>0.2*200</v>
      </c>
    </row>
    <row r="40" spans="1:3" x14ac:dyDescent="0.25">
      <c r="A40" t="str">
        <f t="shared" si="3"/>
        <v>0.1*100</v>
      </c>
      <c r="B40" t="str">
        <f t="shared" si="3"/>
        <v>0.1*150</v>
      </c>
      <c r="C40" t="str">
        <f t="shared" si="3"/>
        <v>0.1*200</v>
      </c>
    </row>
    <row r="41" spans="1:3" x14ac:dyDescent="0.25">
      <c r="A41" t="str">
        <f t="shared" si="3"/>
        <v>0.05*100</v>
      </c>
      <c r="B41" t="str">
        <f t="shared" si="3"/>
        <v>0.05*150</v>
      </c>
      <c r="C41" t="str">
        <f t="shared" si="3"/>
        <v>0.05*200</v>
      </c>
    </row>
    <row r="44" spans="1:3" x14ac:dyDescent="0.25">
      <c r="A44" t="str">
        <f>B5&amp;"*"&amp;D5</f>
        <v>0.5*100</v>
      </c>
    </row>
    <row r="45" spans="1:3" x14ac:dyDescent="0.25">
      <c r="A45" t="str">
        <f>B6&amp;"*"&amp;D6</f>
        <v>0.2*100</v>
      </c>
    </row>
    <row r="46" spans="1:3" x14ac:dyDescent="0.25">
      <c r="A46" t="str">
        <f>B7&amp;"*"&amp;D7</f>
        <v>0.1*100</v>
      </c>
    </row>
    <row r="47" spans="1:3" x14ac:dyDescent="0.25">
      <c r="A47" t="str">
        <f>B8&amp;"*"&amp;D8</f>
        <v>0.05*100</v>
      </c>
    </row>
    <row r="49" spans="1:4" x14ac:dyDescent="0.25">
      <c r="A49" t="str">
        <f>A21&amp;"*"&amp;A23</f>
        <v>0.5*100</v>
      </c>
      <c r="B49" t="str">
        <f>B21&amp;"*"&amp;B23</f>
        <v>0.2*100</v>
      </c>
      <c r="C49" t="str">
        <f>C21&amp;"*"&amp;C23</f>
        <v>0.1*100</v>
      </c>
      <c r="D49" t="str">
        <f>D21&amp;"*"&amp;D23</f>
        <v>0.05*100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1"/>
  </sheetPr>
  <dimension ref="A1"/>
  <sheetViews>
    <sheetView workbookViewId="0">
      <selection activeCell="E22" sqref="E22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00FF"/>
  </sheetPr>
  <dimension ref="A4:I35"/>
  <sheetViews>
    <sheetView topLeftCell="A10" zoomScale="85" zoomScaleNormal="85" workbookViewId="0">
      <selection activeCell="F34" sqref="F34:F35"/>
    </sheetView>
  </sheetViews>
  <sheetFormatPr defaultRowHeight="15" x14ac:dyDescent="0.25"/>
  <cols>
    <col min="1" max="1" width="12.28515625" customWidth="1"/>
    <col min="2" max="2" width="10.42578125" customWidth="1"/>
    <col min="3" max="3" width="9.85546875" bestFit="1" customWidth="1"/>
    <col min="5" max="5" width="37.5703125" customWidth="1"/>
    <col min="6" max="6" width="12.7109375" customWidth="1"/>
  </cols>
  <sheetData>
    <row r="4" spans="1:9" ht="26.25" x14ac:dyDescent="0.25">
      <c r="A4" s="111" t="s">
        <v>105</v>
      </c>
      <c r="B4" s="112" t="s">
        <v>49</v>
      </c>
      <c r="C4" s="113" t="s">
        <v>41</v>
      </c>
      <c r="D4" s="117" t="s">
        <v>359</v>
      </c>
      <c r="E4" s="79" t="s">
        <v>233</v>
      </c>
      <c r="F4" s="80"/>
    </row>
    <row r="5" spans="1:9" x14ac:dyDescent="0.25">
      <c r="A5" s="109" t="s">
        <v>234</v>
      </c>
      <c r="B5" s="81">
        <v>1944</v>
      </c>
      <c r="C5" s="118">
        <v>1166.4000000000001</v>
      </c>
      <c r="D5">
        <f>HW1Tables[[#This Row],[Revenue]]-HW1Tables[[#This Row],[COGS]]</f>
        <v>777.59999999999991</v>
      </c>
      <c r="E5" s="82">
        <f>SUMPRODUCT(B5:B18-C5:C18)</f>
        <v>6244.8</v>
      </c>
    </row>
    <row r="6" spans="1:9" x14ac:dyDescent="0.25">
      <c r="A6" s="109" t="s">
        <v>104</v>
      </c>
      <c r="B6" s="81">
        <v>1570</v>
      </c>
      <c r="C6" s="118">
        <v>628</v>
      </c>
      <c r="D6">
        <f>HW1Tables[[#This Row],[Revenue]]-HW1Tables[[#This Row],[COGS]]</f>
        <v>942</v>
      </c>
    </row>
    <row r="7" spans="1:9" x14ac:dyDescent="0.25">
      <c r="A7" s="109" t="s">
        <v>234</v>
      </c>
      <c r="B7" s="81">
        <v>1012</v>
      </c>
      <c r="C7" s="118">
        <v>607.20000000000005</v>
      </c>
      <c r="D7">
        <f>HW1Tables[[#This Row],[Revenue]]-HW1Tables[[#This Row],[COGS]]</f>
        <v>404.79999999999995</v>
      </c>
    </row>
    <row r="8" spans="1:9" x14ac:dyDescent="0.25">
      <c r="A8" s="109" t="s">
        <v>234</v>
      </c>
      <c r="B8" s="81">
        <v>1088</v>
      </c>
      <c r="C8" s="118">
        <v>435.2</v>
      </c>
      <c r="D8">
        <f>HW1Tables[[#This Row],[Revenue]]-HW1Tables[[#This Row],[COGS]]</f>
        <v>652.79999999999995</v>
      </c>
      <c r="E8" s="79" t="s">
        <v>235</v>
      </c>
      <c r="F8" s="80"/>
    </row>
    <row r="9" spans="1:9" x14ac:dyDescent="0.25">
      <c r="A9" s="109" t="s">
        <v>104</v>
      </c>
      <c r="B9" s="81">
        <v>759</v>
      </c>
      <c r="C9" s="118">
        <v>303.60000000000002</v>
      </c>
      <c r="D9">
        <f>HW1Tables[[#This Row],[Revenue]]-HW1Tables[[#This Row],[COGS]]</f>
        <v>455.4</v>
      </c>
      <c r="E9" s="83" t="s">
        <v>105</v>
      </c>
      <c r="F9" s="83" t="s">
        <v>236</v>
      </c>
      <c r="I9" s="83" t="s">
        <v>236</v>
      </c>
    </row>
    <row r="10" spans="1:9" x14ac:dyDescent="0.25">
      <c r="A10" s="109" t="s">
        <v>234</v>
      </c>
      <c r="B10" s="81">
        <v>484</v>
      </c>
      <c r="C10" s="118">
        <v>242</v>
      </c>
      <c r="D10">
        <f>HW1Tables[[#This Row],[Revenue]]-HW1Tables[[#This Row],[COGS]]</f>
        <v>242</v>
      </c>
      <c r="E10" s="3" t="s">
        <v>234</v>
      </c>
      <c r="F10" s="18">
        <f t="array" ref="F10">MAX(IF($A$5:$A$18=E10,$B$5:$B$18-$C$5:$C$18))</f>
        <v>777.59999999999991</v>
      </c>
      <c r="I10" s="18">
        <f t="array" ref="I10:I11">_xlfn.AGGREGATE(14,6,IF(HW1Tables[Sales Rep]=E10,HW1Tables[Revenue]-HW1Tables[COGS]),1)</f>
        <v>777.59999999999991</v>
      </c>
    </row>
    <row r="11" spans="1:9" x14ac:dyDescent="0.25">
      <c r="A11" s="109" t="s">
        <v>104</v>
      </c>
      <c r="B11" s="81">
        <v>827</v>
      </c>
      <c r="C11" s="118">
        <v>413.5</v>
      </c>
      <c r="D11">
        <f>HW1Tables[[#This Row],[Revenue]]-HW1Tables[[#This Row],[COGS]]</f>
        <v>413.5</v>
      </c>
      <c r="E11" s="3" t="s">
        <v>104</v>
      </c>
      <c r="F11" s="18">
        <f t="array" ref="F11">MAX(IF($A$5:$A$18=E11,$B$5:$B$18-$C$5:$C$18))</f>
        <v>942</v>
      </c>
      <c r="H11" t="s">
        <v>237</v>
      </c>
      <c r="I11" s="18">
        <v>777.59999999999991</v>
      </c>
    </row>
    <row r="12" spans="1:9" x14ac:dyDescent="0.25">
      <c r="A12" s="109" t="s">
        <v>104</v>
      </c>
      <c r="B12" s="81">
        <v>704</v>
      </c>
      <c r="C12" s="118">
        <v>281.60000000000002</v>
      </c>
      <c r="D12">
        <f>HW1Tables[[#This Row],[Revenue]]-HW1Tables[[#This Row],[COGS]]</f>
        <v>422.4</v>
      </c>
    </row>
    <row r="13" spans="1:9" x14ac:dyDescent="0.25">
      <c r="A13" s="109" t="s">
        <v>104</v>
      </c>
      <c r="B13" s="81">
        <v>1707</v>
      </c>
      <c r="C13" s="118">
        <v>1194.9000000000001</v>
      </c>
      <c r="D13">
        <f>HW1Tables[[#This Row],[Revenue]]-HW1Tables[[#This Row],[COGS]]</f>
        <v>512.09999999999991</v>
      </c>
    </row>
    <row r="14" spans="1:9" x14ac:dyDescent="0.25">
      <c r="A14" s="109" t="s">
        <v>234</v>
      </c>
      <c r="B14" s="81">
        <v>511</v>
      </c>
      <c r="C14" s="118">
        <v>255.5</v>
      </c>
      <c r="D14">
        <f>HW1Tables[[#This Row],[Revenue]]-HW1Tables[[#This Row],[COGS]]</f>
        <v>255.5</v>
      </c>
      <c r="E14" s="79" t="s">
        <v>238</v>
      </c>
      <c r="F14" s="80"/>
    </row>
    <row r="15" spans="1:9" x14ac:dyDescent="0.25">
      <c r="A15" s="109" t="s">
        <v>234</v>
      </c>
      <c r="B15" s="81">
        <v>722</v>
      </c>
      <c r="C15" s="118">
        <v>505.4</v>
      </c>
      <c r="D15">
        <f>HW1Tables[[#This Row],[Revenue]]-HW1Tables[[#This Row],[COGS]]</f>
        <v>216.60000000000002</v>
      </c>
      <c r="E15" s="83" t="s">
        <v>105</v>
      </c>
      <c r="F15" s="83" t="s">
        <v>239</v>
      </c>
      <c r="I15" s="83" t="s">
        <v>239</v>
      </c>
    </row>
    <row r="16" spans="1:9" x14ac:dyDescent="0.25">
      <c r="A16" s="109" t="s">
        <v>104</v>
      </c>
      <c r="B16" s="81">
        <v>183</v>
      </c>
      <c r="C16" s="118">
        <v>109.8</v>
      </c>
      <c r="D16">
        <f>HW1Tables[[#This Row],[Revenue]]-HW1Tables[[#This Row],[COGS]]</f>
        <v>73.2</v>
      </c>
      <c r="E16" s="3" t="s">
        <v>234</v>
      </c>
      <c r="F16" s="18">
        <f t="array" ref="F16">MIN(IF(HW1Tables[Sales Rep]=E16,HW1Tables[Revenue]-HW1Tables[COGS]))</f>
        <v>216.60000000000002</v>
      </c>
      <c r="I16" s="18">
        <f>_xlfn.AGGREGATE(15,6,(HW1Tables[Revenue]-HW1Tables[COGS])/(HW1Tables[Sales Rep]=E16),1)</f>
        <v>216.60000000000002</v>
      </c>
    </row>
    <row r="17" spans="1:9" x14ac:dyDescent="0.25">
      <c r="A17" s="109" t="s">
        <v>104</v>
      </c>
      <c r="B17" s="81">
        <v>1473</v>
      </c>
      <c r="C17" s="118">
        <v>736.5</v>
      </c>
      <c r="D17">
        <f>HW1Tables[[#This Row],[Revenue]]-HW1Tables[[#This Row],[COGS]]</f>
        <v>736.5</v>
      </c>
      <c r="E17" s="3" t="s">
        <v>104</v>
      </c>
      <c r="F17" s="18">
        <f t="array" ref="F17">MIN(IF(HW1Tables[Sales Rep]=E17,HW1Tables[Revenue]-HW1Tables[COGS]))</f>
        <v>73.2</v>
      </c>
      <c r="H17" t="s">
        <v>237</v>
      </c>
      <c r="I17" s="18">
        <f>_xlfn.AGGREGATE(15,6,(HW1Tables[Revenue]-HW1Tables[COGS])/(HW1Tables[Sales Rep]=E17),1)</f>
        <v>73.2</v>
      </c>
    </row>
    <row r="18" spans="1:9" x14ac:dyDescent="0.25">
      <c r="A18" s="114" t="s">
        <v>104</v>
      </c>
      <c r="B18" s="119">
        <v>468</v>
      </c>
      <c r="C18" s="120">
        <v>327.60000000000002</v>
      </c>
      <c r="D18">
        <f>HW1Tables[[#This Row],[Revenue]]-HW1Tables[[#This Row],[COGS]]</f>
        <v>140.39999999999998</v>
      </c>
    </row>
    <row r="20" spans="1:9" x14ac:dyDescent="0.25">
      <c r="E20" s="79" t="s">
        <v>240</v>
      </c>
      <c r="F20" s="80"/>
    </row>
    <row r="21" spans="1:9" x14ac:dyDescent="0.25">
      <c r="E21" s="83" t="s">
        <v>105</v>
      </c>
      <c r="F21" s="83" t="s">
        <v>241</v>
      </c>
    </row>
    <row r="22" spans="1:9" x14ac:dyDescent="0.25">
      <c r="E22" s="3" t="s">
        <v>234</v>
      </c>
      <c r="F22" s="18">
        <f t="array" ref="F22">AVERAGE(IF(HW1Tables[Sales Rep]=E22,HW1Tables[Revenue]-HW1Tables[COGS]))</f>
        <v>424.88333333333327</v>
      </c>
    </row>
    <row r="23" spans="1:9" x14ac:dyDescent="0.25">
      <c r="E23" s="3" t="s">
        <v>104</v>
      </c>
      <c r="F23" s="18">
        <f t="array" ref="F23">AVERAGE(IF(HW1Tables[Sales Rep]=E23,HW1Tables[Revenue]-HW1Tables[COGS]))</f>
        <v>461.9375</v>
      </c>
      <c r="H23" t="s">
        <v>237</v>
      </c>
    </row>
    <row r="26" spans="1:9" x14ac:dyDescent="0.25">
      <c r="E26" s="79" t="s">
        <v>242</v>
      </c>
      <c r="F26" s="80"/>
    </row>
    <row r="27" spans="1:9" ht="26.25" x14ac:dyDescent="0.25">
      <c r="E27" s="83" t="s">
        <v>105</v>
      </c>
      <c r="F27" s="83" t="s">
        <v>241</v>
      </c>
      <c r="I27" s="83" t="s">
        <v>241</v>
      </c>
    </row>
    <row r="28" spans="1:9" x14ac:dyDescent="0.25">
      <c r="E28" s="3" t="s">
        <v>234</v>
      </c>
      <c r="F28" s="18">
        <f t="array" ref="F28">_xlfn.STDEV.S(IF(HW1Tables[Sales Rep]=E28,HW1Tables[Revenue]-HW1Tables[COGS]))</f>
        <v>237.60360617353155</v>
      </c>
      <c r="I28" s="18"/>
    </row>
    <row r="29" spans="1:9" x14ac:dyDescent="0.25">
      <c r="E29" s="3" t="s">
        <v>104</v>
      </c>
      <c r="F29" s="18">
        <f t="array" ref="F29">_xlfn.STDEV.S(IF(HW1Tables[Sales Rep]=E29,HW1Tables[Revenue]-HW1Tables[COGS]))</f>
        <v>284.55885626451942</v>
      </c>
      <c r="I29" s="18"/>
    </row>
    <row r="32" spans="1:9" x14ac:dyDescent="0.25">
      <c r="E32" s="79" t="s">
        <v>243</v>
      </c>
      <c r="F32" s="80"/>
    </row>
    <row r="33" spans="5:9" ht="26.25" x14ac:dyDescent="0.25">
      <c r="E33" s="83" t="s">
        <v>105</v>
      </c>
      <c r="F33" s="83" t="s">
        <v>241</v>
      </c>
      <c r="I33" s="83" t="s">
        <v>241</v>
      </c>
    </row>
    <row r="34" spans="5:9" x14ac:dyDescent="0.25">
      <c r="E34" s="3" t="s">
        <v>234</v>
      </c>
      <c r="F34" s="18">
        <f t="array" ref="F34">MEDIAN(IF(HW1Tables[Sales Rep]=E28,HW1Tables[Revenue]-HW1Tables[COGS]))</f>
        <v>330.15</v>
      </c>
      <c r="I34" s="18"/>
    </row>
    <row r="35" spans="5:9" x14ac:dyDescent="0.25">
      <c r="E35" s="3" t="s">
        <v>104</v>
      </c>
      <c r="F35" s="18">
        <f t="array" ref="F35">MEDIAN(IF(HW1Tables[Sales Rep]=E29,HW1Tables[Revenue]-HW1Tables[COGS]))</f>
        <v>438.9</v>
      </c>
      <c r="I35" s="18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A4:I35"/>
  <sheetViews>
    <sheetView topLeftCell="A13" zoomScale="85" zoomScaleNormal="85" workbookViewId="0">
      <selection activeCell="I35" sqref="I35"/>
    </sheetView>
  </sheetViews>
  <sheetFormatPr defaultRowHeight="15" x14ac:dyDescent="0.25"/>
  <cols>
    <col min="2" max="3" width="9.85546875" bestFit="1" customWidth="1"/>
    <col min="5" max="5" width="37.5703125" customWidth="1"/>
    <col min="6" max="6" width="12.7109375" customWidth="1"/>
  </cols>
  <sheetData>
    <row r="4" spans="1:9" ht="26.25" x14ac:dyDescent="0.25">
      <c r="A4" s="78" t="s">
        <v>105</v>
      </c>
      <c r="B4" s="2" t="s">
        <v>49</v>
      </c>
      <c r="C4" s="2" t="s">
        <v>41</v>
      </c>
      <c r="E4" s="79" t="s">
        <v>233</v>
      </c>
      <c r="F4" s="80"/>
    </row>
    <row r="5" spans="1:9" x14ac:dyDescent="0.25">
      <c r="A5" s="3" t="s">
        <v>234</v>
      </c>
      <c r="B5" s="81">
        <v>1944</v>
      </c>
      <c r="C5" s="81">
        <v>1166.4000000000001</v>
      </c>
      <c r="E5" s="82">
        <f>SUMPRODUCT(B5:B18-C5:C18)</f>
        <v>6244.8</v>
      </c>
    </row>
    <row r="6" spans="1:9" x14ac:dyDescent="0.25">
      <c r="A6" s="3" t="s">
        <v>104</v>
      </c>
      <c r="B6" s="81">
        <v>1570</v>
      </c>
      <c r="C6" s="81">
        <v>628</v>
      </c>
    </row>
    <row r="7" spans="1:9" x14ac:dyDescent="0.25">
      <c r="A7" s="3" t="s">
        <v>234</v>
      </c>
      <c r="B7" s="81">
        <v>1012</v>
      </c>
      <c r="C7" s="81">
        <v>607.20000000000005</v>
      </c>
    </row>
    <row r="8" spans="1:9" x14ac:dyDescent="0.25">
      <c r="A8" s="3" t="s">
        <v>234</v>
      </c>
      <c r="B8" s="81">
        <v>1088</v>
      </c>
      <c r="C8" s="81">
        <v>435.2</v>
      </c>
      <c r="E8" s="79" t="s">
        <v>235</v>
      </c>
      <c r="F8" s="80"/>
    </row>
    <row r="9" spans="1:9" x14ac:dyDescent="0.25">
      <c r="A9" s="3" t="s">
        <v>104</v>
      </c>
      <c r="B9" s="81">
        <v>759</v>
      </c>
      <c r="C9" s="81">
        <v>303.60000000000002</v>
      </c>
      <c r="E9" s="83" t="s">
        <v>105</v>
      </c>
      <c r="F9" s="83" t="s">
        <v>236</v>
      </c>
      <c r="I9" s="83" t="s">
        <v>236</v>
      </c>
    </row>
    <row r="10" spans="1:9" x14ac:dyDescent="0.25">
      <c r="A10" s="3" t="s">
        <v>234</v>
      </c>
      <c r="B10" s="81">
        <v>484</v>
      </c>
      <c r="C10" s="81">
        <v>242</v>
      </c>
      <c r="E10" s="3" t="s">
        <v>234</v>
      </c>
      <c r="F10" s="18">
        <f t="array" ref="F10">MAX(IF($A$5:$A$18=E10,$B$5:$B$18-$C$5:$C$18))</f>
        <v>777.59999999999991</v>
      </c>
      <c r="I10" s="18">
        <f>_xlfn.AGGREGATE(14,4,($A$5:$A$18=E10)*($B$5:$B$18-$C$5:$C$18),1)</f>
        <v>777.59999999999991</v>
      </c>
    </row>
    <row r="11" spans="1:9" x14ac:dyDescent="0.25">
      <c r="A11" s="3" t="s">
        <v>104</v>
      </c>
      <c r="B11" s="81">
        <v>827</v>
      </c>
      <c r="C11" s="81">
        <v>413.5</v>
      </c>
      <c r="E11" s="3" t="s">
        <v>104</v>
      </c>
      <c r="F11" s="18">
        <f t="array" ref="F11">MAX(IF($A$5:$A$18=E11,$B$5:$B$18-$C$5:$C$18))</f>
        <v>942</v>
      </c>
      <c r="H11" t="s">
        <v>237</v>
      </c>
      <c r="I11" s="18">
        <f>_xlfn.AGGREGATE(14,4,($A$5:$A$18=E11)*($B$5:$B$18-$C$5:$C$18),1)</f>
        <v>942</v>
      </c>
    </row>
    <row r="12" spans="1:9" x14ac:dyDescent="0.25">
      <c r="A12" s="3" t="s">
        <v>104</v>
      </c>
      <c r="B12" s="81">
        <v>704</v>
      </c>
      <c r="C12" s="81">
        <v>281.60000000000002</v>
      </c>
    </row>
    <row r="13" spans="1:9" x14ac:dyDescent="0.25">
      <c r="A13" s="3" t="s">
        <v>104</v>
      </c>
      <c r="B13" s="81">
        <v>1707</v>
      </c>
      <c r="C13" s="81">
        <v>1194.9000000000001</v>
      </c>
    </row>
    <row r="14" spans="1:9" x14ac:dyDescent="0.25">
      <c r="A14" s="3" t="s">
        <v>234</v>
      </c>
      <c r="B14" s="81">
        <v>511</v>
      </c>
      <c r="C14" s="81">
        <v>255.5</v>
      </c>
      <c r="E14" s="79" t="s">
        <v>238</v>
      </c>
      <c r="F14" s="80"/>
    </row>
    <row r="15" spans="1:9" x14ac:dyDescent="0.25">
      <c r="A15" s="3" t="s">
        <v>234</v>
      </c>
      <c r="B15" s="81">
        <v>722</v>
      </c>
      <c r="C15" s="81">
        <v>505.4</v>
      </c>
      <c r="E15" s="83" t="s">
        <v>105</v>
      </c>
      <c r="F15" s="83" t="s">
        <v>239</v>
      </c>
      <c r="I15" s="83" t="s">
        <v>239</v>
      </c>
    </row>
    <row r="16" spans="1:9" x14ac:dyDescent="0.25">
      <c r="A16" s="3" t="s">
        <v>104</v>
      </c>
      <c r="B16" s="81">
        <v>183</v>
      </c>
      <c r="C16" s="81">
        <v>109.8</v>
      </c>
      <c r="E16" s="3" t="s">
        <v>234</v>
      </c>
      <c r="F16" s="18">
        <f t="array" ref="F16">MIN(IF($A$5:$A$18=E16,$B$5:$B$18-$C$5:$C$18))</f>
        <v>216.60000000000002</v>
      </c>
      <c r="I16" s="18">
        <f>_xlfn.AGGREGATE(15,6,($B$5:$B$18-$C$5:$C$18)/($A$5:$A$18=E16),1)</f>
        <v>216.60000000000002</v>
      </c>
    </row>
    <row r="17" spans="1:9" x14ac:dyDescent="0.25">
      <c r="A17" s="3" t="s">
        <v>104</v>
      </c>
      <c r="B17" s="81">
        <v>1473</v>
      </c>
      <c r="C17" s="81">
        <v>736.5</v>
      </c>
      <c r="E17" s="3" t="s">
        <v>104</v>
      </c>
      <c r="F17" s="18">
        <f t="array" ref="F17">MIN(IF($A$5:$A$18=E17,$B$5:$B$18-$C$5:$C$18))</f>
        <v>73.2</v>
      </c>
      <c r="H17" t="s">
        <v>237</v>
      </c>
      <c r="I17" s="18">
        <f>_xlfn.AGGREGATE(15,6,($B$5:$B$18-$C$5:$C$18)/($A$5:$A$18=E17),1)</f>
        <v>73.2</v>
      </c>
    </row>
    <row r="18" spans="1:9" x14ac:dyDescent="0.25">
      <c r="A18" s="3" t="s">
        <v>104</v>
      </c>
      <c r="B18" s="81">
        <v>468</v>
      </c>
      <c r="C18" s="81">
        <v>327.60000000000002</v>
      </c>
    </row>
    <row r="20" spans="1:9" x14ac:dyDescent="0.25">
      <c r="E20" s="79" t="s">
        <v>240</v>
      </c>
      <c r="F20" s="80"/>
    </row>
    <row r="21" spans="1:9" x14ac:dyDescent="0.25">
      <c r="E21" s="83" t="s">
        <v>105</v>
      </c>
      <c r="F21" s="83" t="s">
        <v>241</v>
      </c>
    </row>
    <row r="22" spans="1:9" x14ac:dyDescent="0.25">
      <c r="E22" s="3" t="s">
        <v>234</v>
      </c>
      <c r="F22" s="18">
        <f t="array" ref="F22">AVERAGE(IF($A$5:$A$18=E22,$B$5:$B$18-$C$5:$C$18))</f>
        <v>424.88333333333327</v>
      </c>
    </row>
    <row r="23" spans="1:9" x14ac:dyDescent="0.25">
      <c r="E23" s="3" t="s">
        <v>104</v>
      </c>
      <c r="F23" s="18">
        <f t="array" ref="F23">AVERAGE(IF($A$5:$A$18=E23,$B$5:$B$18-$C$5:$C$18))</f>
        <v>461.9375</v>
      </c>
      <c r="H23" t="s">
        <v>237</v>
      </c>
    </row>
    <row r="26" spans="1:9" x14ac:dyDescent="0.25">
      <c r="E26" s="79" t="s">
        <v>242</v>
      </c>
      <c r="F26" s="80"/>
    </row>
    <row r="27" spans="1:9" ht="26.25" x14ac:dyDescent="0.25">
      <c r="E27" s="83" t="s">
        <v>105</v>
      </c>
      <c r="F27" s="83" t="s">
        <v>241</v>
      </c>
      <c r="I27" s="83" t="s">
        <v>241</v>
      </c>
    </row>
    <row r="28" spans="1:9" x14ac:dyDescent="0.25">
      <c r="E28" s="3" t="s">
        <v>234</v>
      </c>
      <c r="F28" s="18">
        <f t="array" ref="F28">_xlfn.STDEV.S(IF($A$5:$A$18=E28,$B$5:$B$18-$C$5:$C$18))</f>
        <v>237.60360617353155</v>
      </c>
      <c r="I28" s="18">
        <f>SUMPRODUCT(--($A$5:$A$18=E10),$B$5:$B$18-$C$5:$C$18)</f>
        <v>2549.2999999999997</v>
      </c>
    </row>
    <row r="29" spans="1:9" x14ac:dyDescent="0.25">
      <c r="E29" s="3" t="s">
        <v>104</v>
      </c>
      <c r="F29" s="18">
        <f t="array" ref="F29">_xlfn.STDEV.S(IF($A$5:$A$18=E29,$B$5:$B$18-$C$5:$C$18))</f>
        <v>284.55885626451942</v>
      </c>
      <c r="I29" s="18">
        <f>SUMPRODUCT(--($A$5:$A$18=E11),$B$5:$B$18-$C$5:$C$18)</f>
        <v>3695.5</v>
      </c>
    </row>
    <row r="32" spans="1:9" x14ac:dyDescent="0.25">
      <c r="E32" s="79" t="s">
        <v>243</v>
      </c>
      <c r="F32" s="80"/>
    </row>
    <row r="33" spans="5:9" ht="26.25" x14ac:dyDescent="0.25">
      <c r="E33" s="83" t="s">
        <v>105</v>
      </c>
      <c r="F33" s="83" t="s">
        <v>241</v>
      </c>
      <c r="I33" s="83" t="s">
        <v>241</v>
      </c>
    </row>
    <row r="34" spans="5:9" x14ac:dyDescent="0.25">
      <c r="E34" s="3" t="s">
        <v>234</v>
      </c>
      <c r="F34" s="18">
        <f t="array" ref="F34">MEDIAN(IF($A$5:$A$18=E34,$B$5:$B$18-$C$5:$C$18))</f>
        <v>330.15</v>
      </c>
      <c r="I34" s="18">
        <f>_xlfn.AGGREGATE(16,6,($B$5:$B$18-$C$5:$C$18)/($A$5:$A$18=E34),0.5)</f>
        <v>330.15</v>
      </c>
    </row>
    <row r="35" spans="5:9" x14ac:dyDescent="0.25">
      <c r="E35" s="3" t="s">
        <v>104</v>
      </c>
      <c r="F35" s="18">
        <f t="array" ref="F35">MEDIAN(IF($A$5:$A$18=E35,$B$5:$B$18-$C$5:$C$18))</f>
        <v>438.9</v>
      </c>
      <c r="I35" s="18">
        <f>_xlfn.AGGREGATE(16,6,($B$5:$B$18-$C$5:$C$18)/($A$5:$A$18=E35),0.5)</f>
        <v>438.9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B1:J15"/>
  <sheetViews>
    <sheetView zoomScale="85" zoomScaleNormal="85" workbookViewId="0">
      <selection activeCell="B9" sqref="B9:F15"/>
    </sheetView>
  </sheetViews>
  <sheetFormatPr defaultRowHeight="15" x14ac:dyDescent="0.25"/>
  <cols>
    <col min="2" max="2" width="16.5703125" bestFit="1" customWidth="1"/>
    <col min="3" max="3" width="10.28515625" bestFit="1" customWidth="1"/>
    <col min="4" max="4" width="10.140625" bestFit="1" customWidth="1"/>
    <col min="5" max="6" width="10.28515625" bestFit="1" customWidth="1"/>
    <col min="7" max="8" width="12.7109375" customWidth="1"/>
  </cols>
  <sheetData>
    <row r="1" spans="2:10" x14ac:dyDescent="0.25">
      <c r="B1" s="79" t="s">
        <v>244</v>
      </c>
      <c r="C1" s="84"/>
      <c r="D1" s="84"/>
      <c r="E1" s="84"/>
      <c r="F1" s="84"/>
      <c r="G1" s="84"/>
      <c r="H1" s="84"/>
      <c r="I1" s="84"/>
      <c r="J1" s="80"/>
    </row>
    <row r="3" spans="2:10" x14ac:dyDescent="0.25">
      <c r="B3" s="68" t="s">
        <v>245</v>
      </c>
      <c r="C3" s="68" t="s">
        <v>234</v>
      </c>
      <c r="D3" s="68" t="s">
        <v>246</v>
      </c>
      <c r="E3" s="68" t="s">
        <v>247</v>
      </c>
      <c r="F3" s="68" t="s">
        <v>89</v>
      </c>
      <c r="G3" s="68" t="s">
        <v>86</v>
      </c>
      <c r="H3" s="68" t="s">
        <v>248</v>
      </c>
    </row>
    <row r="4" spans="2:10" x14ac:dyDescent="0.25">
      <c r="B4" s="68" t="s">
        <v>249</v>
      </c>
      <c r="C4" s="81">
        <v>2042.75</v>
      </c>
      <c r="D4" s="81">
        <v>134.79</v>
      </c>
      <c r="E4" s="81">
        <v>2032.99</v>
      </c>
      <c r="F4" s="81">
        <v>1045.55</v>
      </c>
      <c r="G4" s="81">
        <v>804.55</v>
      </c>
      <c r="H4" s="81">
        <v>852.51</v>
      </c>
    </row>
    <row r="5" spans="2:10" x14ac:dyDescent="0.25">
      <c r="B5" s="68" t="s">
        <v>250</v>
      </c>
      <c r="C5" s="81">
        <v>296.64</v>
      </c>
      <c r="D5" s="81">
        <v>120.89</v>
      </c>
      <c r="E5" s="81">
        <v>1439.23</v>
      </c>
      <c r="F5" s="81">
        <v>100.12</v>
      </c>
      <c r="G5" s="81">
        <v>1676.61</v>
      </c>
      <c r="H5" s="81">
        <v>1732.7</v>
      </c>
    </row>
    <row r="6" spans="2:10" x14ac:dyDescent="0.25">
      <c r="B6" s="68" t="s">
        <v>251</v>
      </c>
      <c r="C6" s="81">
        <v>520.63</v>
      </c>
      <c r="D6" s="81">
        <v>785.3</v>
      </c>
      <c r="E6" s="81">
        <v>666.5</v>
      </c>
      <c r="F6" s="81">
        <v>1356.3</v>
      </c>
      <c r="G6" s="81">
        <v>1007.96</v>
      </c>
      <c r="H6" s="81">
        <v>178.87</v>
      </c>
    </row>
    <row r="7" spans="2:10" x14ac:dyDescent="0.25">
      <c r="B7" s="68" t="s">
        <v>252</v>
      </c>
      <c r="C7" s="81">
        <v>1698.67</v>
      </c>
      <c r="D7" s="81">
        <v>694.6</v>
      </c>
      <c r="E7" s="81">
        <v>166.44</v>
      </c>
      <c r="F7" s="81">
        <v>2176.94</v>
      </c>
      <c r="G7" s="81">
        <v>608.09</v>
      </c>
      <c r="H7" s="81">
        <v>1234.25</v>
      </c>
    </row>
    <row r="9" spans="2:10" x14ac:dyDescent="0.25">
      <c r="B9" s="3" t="str">
        <f t="array" ref="B9:F15">TRANSPOSE(B3:H7)</f>
        <v>Region/Sales Rep</v>
      </c>
      <c r="C9" s="3" t="str">
        <v>West</v>
      </c>
      <c r="D9" s="3" t="str">
        <v>East</v>
      </c>
      <c r="E9" s="3" t="str">
        <v>South</v>
      </c>
      <c r="F9" s="3" t="str">
        <v>NorthWest</v>
      </c>
    </row>
    <row r="10" spans="2:10" x14ac:dyDescent="0.25">
      <c r="B10" s="3" t="str">
        <v>Jo</v>
      </c>
      <c r="C10" s="3">
        <v>2042.75</v>
      </c>
      <c r="D10" s="3">
        <v>296.64</v>
      </c>
      <c r="E10" s="3">
        <v>520.63</v>
      </c>
      <c r="F10" s="3">
        <v>1698.67</v>
      </c>
    </row>
    <row r="11" spans="2:10" x14ac:dyDescent="0.25">
      <c r="B11" s="3" t="str">
        <v>Phil</v>
      </c>
      <c r="C11" s="3">
        <v>134.79</v>
      </c>
      <c r="D11" s="3">
        <v>120.89</v>
      </c>
      <c r="E11" s="3">
        <v>785.3</v>
      </c>
      <c r="F11" s="3">
        <v>694.6</v>
      </c>
    </row>
    <row r="12" spans="2:10" x14ac:dyDescent="0.25">
      <c r="B12" s="3" t="str">
        <v>Dim</v>
      </c>
      <c r="C12" s="3">
        <v>2032.99</v>
      </c>
      <c r="D12" s="3">
        <v>1439.23</v>
      </c>
      <c r="E12" s="3">
        <v>666.5</v>
      </c>
      <c r="F12" s="3">
        <v>166.44</v>
      </c>
    </row>
    <row r="13" spans="2:10" x14ac:dyDescent="0.25">
      <c r="B13" s="3" t="str">
        <v>Chin</v>
      </c>
      <c r="C13" s="3">
        <v>1045.55</v>
      </c>
      <c r="D13" s="3">
        <v>100.12</v>
      </c>
      <c r="E13" s="3">
        <v>1356.3</v>
      </c>
      <c r="F13" s="3">
        <v>2176.94</v>
      </c>
    </row>
    <row r="14" spans="2:10" x14ac:dyDescent="0.25">
      <c r="B14" s="3" t="str">
        <v>Sioux</v>
      </c>
      <c r="C14" s="3">
        <v>804.55</v>
      </c>
      <c r="D14" s="3">
        <v>1676.61</v>
      </c>
      <c r="E14" s="3">
        <v>1007.96</v>
      </c>
      <c r="F14" s="3">
        <v>608.09</v>
      </c>
    </row>
    <row r="15" spans="2:10" x14ac:dyDescent="0.25">
      <c r="B15" s="3" t="str">
        <v>Timmy</v>
      </c>
      <c r="C15" s="3">
        <v>852.51</v>
      </c>
      <c r="D15" s="3">
        <v>1732.7</v>
      </c>
      <c r="E15" s="3">
        <v>178.87</v>
      </c>
      <c r="F15" s="3">
        <v>1234.25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J18"/>
  <sheetViews>
    <sheetView zoomScaleNormal="100" workbookViewId="0">
      <selection activeCell="E17" sqref="E17"/>
    </sheetView>
  </sheetViews>
  <sheetFormatPr defaultRowHeight="15" x14ac:dyDescent="0.25"/>
  <cols>
    <col min="2" max="2" width="16.5703125" bestFit="1" customWidth="1"/>
    <col min="3" max="3" width="10.28515625" bestFit="1" customWidth="1"/>
    <col min="4" max="4" width="10.140625" bestFit="1" customWidth="1"/>
    <col min="5" max="6" width="10.28515625" bestFit="1" customWidth="1"/>
    <col min="7" max="8" width="10.140625" bestFit="1" customWidth="1"/>
  </cols>
  <sheetData>
    <row r="1" spans="2:10" x14ac:dyDescent="0.25">
      <c r="B1" s="79" t="s">
        <v>244</v>
      </c>
      <c r="C1" s="84"/>
      <c r="D1" s="84"/>
      <c r="E1" s="84"/>
      <c r="F1" s="84"/>
      <c r="G1" s="84"/>
      <c r="H1" s="84"/>
      <c r="I1" s="84"/>
      <c r="J1" s="80"/>
    </row>
    <row r="3" spans="2:10" x14ac:dyDescent="0.25">
      <c r="B3" s="68" t="s">
        <v>245</v>
      </c>
      <c r="C3" s="68" t="s">
        <v>234</v>
      </c>
      <c r="D3" s="68" t="s">
        <v>246</v>
      </c>
      <c r="E3" s="68" t="s">
        <v>247</v>
      </c>
      <c r="F3" s="68" t="s">
        <v>89</v>
      </c>
      <c r="G3" s="68" t="s">
        <v>86</v>
      </c>
      <c r="H3" s="68" t="s">
        <v>248</v>
      </c>
    </row>
    <row r="4" spans="2:10" x14ac:dyDescent="0.25">
      <c r="B4" s="68" t="s">
        <v>249</v>
      </c>
      <c r="C4" s="81">
        <v>2042.75</v>
      </c>
      <c r="D4" s="81">
        <v>134.79</v>
      </c>
      <c r="E4" s="81">
        <v>2032.99</v>
      </c>
      <c r="F4" s="81">
        <v>1045.55</v>
      </c>
      <c r="G4" s="81">
        <v>804.55</v>
      </c>
      <c r="H4" s="81">
        <v>852.51</v>
      </c>
    </row>
    <row r="5" spans="2:10" x14ac:dyDescent="0.25">
      <c r="B5" s="68" t="s">
        <v>250</v>
      </c>
      <c r="C5" s="81">
        <v>296.64</v>
      </c>
      <c r="D5" s="81">
        <v>120.89</v>
      </c>
      <c r="E5" s="81">
        <v>1439.23</v>
      </c>
      <c r="F5" s="81">
        <v>100.12</v>
      </c>
      <c r="G5" s="81">
        <v>1676.61</v>
      </c>
      <c r="H5" s="81">
        <v>1732.7</v>
      </c>
    </row>
    <row r="6" spans="2:10" x14ac:dyDescent="0.25">
      <c r="B6" s="68" t="s">
        <v>251</v>
      </c>
      <c r="C6" s="81">
        <v>520.63</v>
      </c>
      <c r="D6" s="81">
        <v>785.3</v>
      </c>
      <c r="E6" s="81">
        <v>666.5</v>
      </c>
      <c r="F6" s="81">
        <v>1356.3</v>
      </c>
      <c r="G6" s="81">
        <v>1007.96</v>
      </c>
      <c r="H6" s="81">
        <v>178.87</v>
      </c>
    </row>
    <row r="7" spans="2:10" x14ac:dyDescent="0.25">
      <c r="B7" s="68" t="s">
        <v>252</v>
      </c>
      <c r="C7" s="81">
        <v>1698.67</v>
      </c>
      <c r="D7" s="81">
        <v>694.6</v>
      </c>
      <c r="E7" s="81">
        <v>166.44</v>
      </c>
      <c r="F7" s="81">
        <v>2176.94</v>
      </c>
      <c r="G7" s="81">
        <v>608.09</v>
      </c>
      <c r="H7" s="81">
        <v>1234.25</v>
      </c>
    </row>
    <row r="12" spans="2:10" x14ac:dyDescent="0.25">
      <c r="B12" s="85" t="str">
        <f t="array" ref="B12:F18">TRANSPOSE(B3:H7)</f>
        <v>Region/Sales Rep</v>
      </c>
      <c r="C12" s="85" t="str">
        <v>West</v>
      </c>
      <c r="D12" s="85" t="str">
        <v>East</v>
      </c>
      <c r="E12" s="85" t="str">
        <v>South</v>
      </c>
      <c r="F12" s="85" t="str">
        <v>NorthWest</v>
      </c>
    </row>
    <row r="13" spans="2:10" x14ac:dyDescent="0.25">
      <c r="B13" s="85" t="str">
        <v>Jo</v>
      </c>
      <c r="C13" s="86">
        <v>2042.75</v>
      </c>
      <c r="D13" s="86">
        <v>296.64</v>
      </c>
      <c r="E13" s="86">
        <v>520.63</v>
      </c>
      <c r="F13" s="86">
        <v>1698.67</v>
      </c>
    </row>
    <row r="14" spans="2:10" x14ac:dyDescent="0.25">
      <c r="B14" s="85" t="str">
        <v>Phil</v>
      </c>
      <c r="C14" s="86">
        <v>134.79</v>
      </c>
      <c r="D14" s="86">
        <v>120.89</v>
      </c>
      <c r="E14" s="86">
        <v>785.3</v>
      </c>
      <c r="F14" s="86">
        <v>694.6</v>
      </c>
    </row>
    <row r="15" spans="2:10" x14ac:dyDescent="0.25">
      <c r="B15" s="85" t="str">
        <v>Dim</v>
      </c>
      <c r="C15" s="86">
        <v>2032.99</v>
      </c>
      <c r="D15" s="86">
        <v>1439.23</v>
      </c>
      <c r="E15" s="86">
        <v>666.5</v>
      </c>
      <c r="F15" s="86">
        <v>166.44</v>
      </c>
    </row>
    <row r="16" spans="2:10" x14ac:dyDescent="0.25">
      <c r="B16" s="85" t="str">
        <v>Chin</v>
      </c>
      <c r="C16" s="86">
        <v>1045.55</v>
      </c>
      <c r="D16" s="86">
        <v>100.12</v>
      </c>
      <c r="E16" s="86">
        <v>1356.3</v>
      </c>
      <c r="F16" s="86">
        <v>2176.94</v>
      </c>
    </row>
    <row r="17" spans="2:6" x14ac:dyDescent="0.25">
      <c r="B17" s="85" t="str">
        <v>Sioux</v>
      </c>
      <c r="C17" s="86">
        <v>804.55</v>
      </c>
      <c r="D17" s="86">
        <v>1676.61</v>
      </c>
      <c r="E17" s="86">
        <v>1007.96</v>
      </c>
      <c r="F17" s="86">
        <v>608.09</v>
      </c>
    </row>
    <row r="18" spans="2:6" x14ac:dyDescent="0.25">
      <c r="B18" s="85" t="str">
        <v>Timmy</v>
      </c>
      <c r="C18" s="86">
        <v>852.51</v>
      </c>
      <c r="D18" s="86">
        <v>1732.7</v>
      </c>
      <c r="E18" s="86">
        <v>178.87</v>
      </c>
      <c r="F18" s="86">
        <v>1234.25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00FF"/>
  </sheetPr>
  <dimension ref="A1:I20"/>
  <sheetViews>
    <sheetView topLeftCell="A2" zoomScale="130" zoomScaleNormal="130" workbookViewId="0">
      <selection activeCell="A4" sqref="A4:D4"/>
    </sheetView>
  </sheetViews>
  <sheetFormatPr defaultRowHeight="15" x14ac:dyDescent="0.25"/>
  <cols>
    <col min="1" max="4" width="14.85546875" customWidth="1"/>
  </cols>
  <sheetData>
    <row r="1" spans="1:9" x14ac:dyDescent="0.25">
      <c r="A1" s="79" t="s">
        <v>257</v>
      </c>
      <c r="B1" s="84"/>
      <c r="C1" s="84"/>
      <c r="D1" s="84"/>
      <c r="E1" s="84"/>
      <c r="F1" s="84"/>
      <c r="G1" s="84"/>
      <c r="H1" s="84"/>
      <c r="I1" s="80"/>
    </row>
    <row r="3" spans="1:9" x14ac:dyDescent="0.25">
      <c r="A3" s="1" t="str">
        <f>A7&amp;" Top 5 Sales"</f>
        <v>Jan Top 5 Sales</v>
      </c>
      <c r="B3" s="1" t="str">
        <f t="shared" ref="B3:D3" si="0">B7&amp;" Top 5 Sales"</f>
        <v>Feb Top 5 Sales</v>
      </c>
      <c r="C3" s="1" t="str">
        <f t="shared" si="0"/>
        <v>Mar Top 5 Sales</v>
      </c>
      <c r="D3" s="1" t="str">
        <f t="shared" si="0"/>
        <v>Apr Top 5 Sales</v>
      </c>
    </row>
    <row r="4" spans="1:9" x14ac:dyDescent="0.25">
      <c r="A4" s="18">
        <f>SUM(LARGE(A$8:A$20,{1,2,3,4,5}))</f>
        <v>461790</v>
      </c>
      <c r="B4" s="18">
        <f>SUM(LARGE(B$8:B$20,{1,2,3,4,5}))</f>
        <v>409585</v>
      </c>
      <c r="C4" s="18">
        <f>SUM(LARGE(C$8:C$20,{1,2,3,4,5}))</f>
        <v>461052</v>
      </c>
      <c r="D4" s="18">
        <f>SUM(LARGE(D$8:D$20,{1,2,3,4,5}))</f>
        <v>528061</v>
      </c>
    </row>
    <row r="7" spans="1:9" x14ac:dyDescent="0.25">
      <c r="A7" s="2" t="s">
        <v>44</v>
      </c>
      <c r="B7" s="2" t="s">
        <v>45</v>
      </c>
      <c r="C7" s="2" t="s">
        <v>46</v>
      </c>
      <c r="D7" s="2" t="s">
        <v>47</v>
      </c>
    </row>
    <row r="8" spans="1:9" x14ac:dyDescent="0.25">
      <c r="A8" s="89">
        <v>106303</v>
      </c>
      <c r="B8" s="89">
        <v>73170</v>
      </c>
      <c r="C8" s="89">
        <v>68152</v>
      </c>
      <c r="D8" s="89">
        <v>85474</v>
      </c>
    </row>
    <row r="9" spans="1:9" x14ac:dyDescent="0.25">
      <c r="A9" s="3">
        <v>22651</v>
      </c>
      <c r="B9" s="3">
        <v>29835</v>
      </c>
      <c r="C9" s="3">
        <v>708</v>
      </c>
      <c r="D9" s="3">
        <v>4238</v>
      </c>
    </row>
    <row r="10" spans="1:9" x14ac:dyDescent="0.25">
      <c r="A10" s="3">
        <v>51521</v>
      </c>
      <c r="B10" s="3">
        <v>61995</v>
      </c>
      <c r="C10" s="3">
        <v>80411</v>
      </c>
      <c r="D10" s="3">
        <v>68484</v>
      </c>
    </row>
    <row r="11" spans="1:9" x14ac:dyDescent="0.25">
      <c r="A11" s="3">
        <v>97311</v>
      </c>
      <c r="B11" s="3">
        <v>73219</v>
      </c>
      <c r="C11" s="3">
        <v>96866</v>
      </c>
      <c r="D11" s="3">
        <v>112463</v>
      </c>
    </row>
    <row r="12" spans="1:9" x14ac:dyDescent="0.25">
      <c r="A12" s="3">
        <v>15994</v>
      </c>
      <c r="B12" s="3">
        <v>64443</v>
      </c>
      <c r="C12" s="3">
        <v>41400</v>
      </c>
      <c r="D12" s="3">
        <v>86489</v>
      </c>
    </row>
    <row r="13" spans="1:9" x14ac:dyDescent="0.25">
      <c r="A13" s="3">
        <v>81925</v>
      </c>
      <c r="B13" s="3">
        <v>52387</v>
      </c>
      <c r="C13" s="3">
        <v>106117</v>
      </c>
      <c r="D13" s="3">
        <v>1100</v>
      </c>
    </row>
    <row r="14" spans="1:9" x14ac:dyDescent="0.25">
      <c r="A14" s="3">
        <v>30452</v>
      </c>
      <c r="B14" s="3">
        <v>104195</v>
      </c>
      <c r="C14" s="3">
        <v>33210</v>
      </c>
      <c r="D14" s="3">
        <v>11156</v>
      </c>
    </row>
    <row r="15" spans="1:9" x14ac:dyDescent="0.25">
      <c r="A15" s="3">
        <v>75856</v>
      </c>
      <c r="B15" s="3">
        <v>3380</v>
      </c>
      <c r="C15" s="3">
        <v>65</v>
      </c>
      <c r="D15" s="3">
        <v>111051</v>
      </c>
    </row>
    <row r="16" spans="1:9" x14ac:dyDescent="0.25">
      <c r="A16" s="3">
        <v>21757</v>
      </c>
      <c r="B16" s="3">
        <v>40699</v>
      </c>
      <c r="C16" s="3">
        <v>29888</v>
      </c>
      <c r="D16" s="3">
        <v>52040</v>
      </c>
    </row>
    <row r="17" spans="1:4" x14ac:dyDescent="0.25">
      <c r="A17" s="3">
        <v>31223</v>
      </c>
      <c r="B17" s="3">
        <v>74829</v>
      </c>
      <c r="C17" s="3">
        <v>75356</v>
      </c>
      <c r="D17" s="3">
        <v>73249</v>
      </c>
    </row>
    <row r="18" spans="1:4" x14ac:dyDescent="0.25">
      <c r="A18" s="3">
        <v>78304</v>
      </c>
      <c r="B18" s="3">
        <v>75657</v>
      </c>
      <c r="C18" s="3">
        <v>21713</v>
      </c>
      <c r="D18" s="3">
        <v>98459</v>
      </c>
    </row>
    <row r="19" spans="1:4" x14ac:dyDescent="0.25">
      <c r="A19" s="3">
        <v>97947</v>
      </c>
      <c r="B19" s="3">
        <v>81685</v>
      </c>
      <c r="C19" s="3">
        <v>102302</v>
      </c>
      <c r="D19" s="3">
        <v>84943</v>
      </c>
    </row>
    <row r="20" spans="1:4" x14ac:dyDescent="0.25">
      <c r="A20" s="3">
        <v>48080</v>
      </c>
      <c r="B20" s="3">
        <v>52265</v>
      </c>
      <c r="C20" s="3">
        <v>35407</v>
      </c>
      <c r="D20" s="3">
        <v>119599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I20"/>
  <sheetViews>
    <sheetView zoomScale="130" zoomScaleNormal="130" workbookViewId="0">
      <selection activeCell="A4" sqref="A4"/>
    </sheetView>
  </sheetViews>
  <sheetFormatPr defaultRowHeight="15" x14ac:dyDescent="0.25"/>
  <cols>
    <col min="1" max="4" width="14.85546875" customWidth="1"/>
  </cols>
  <sheetData>
    <row r="1" spans="1:9" x14ac:dyDescent="0.25">
      <c r="A1" s="79" t="s">
        <v>257</v>
      </c>
      <c r="B1" s="84"/>
      <c r="C1" s="84"/>
      <c r="D1" s="84"/>
      <c r="E1" s="84"/>
      <c r="F1" s="84"/>
      <c r="G1" s="84"/>
      <c r="H1" s="84"/>
      <c r="I1" s="80"/>
    </row>
    <row r="3" spans="1:9" x14ac:dyDescent="0.25">
      <c r="A3" s="1" t="str">
        <f>A7&amp;" Top 5 Sales"</f>
        <v>Jan Top 5 Sales</v>
      </c>
      <c r="B3" s="1" t="str">
        <f t="shared" ref="B3:D3" si="0">B7&amp;" Top 5 Sales"</f>
        <v>Feb Top 5 Sales</v>
      </c>
      <c r="C3" s="1" t="str">
        <f t="shared" si="0"/>
        <v>Mar Top 5 Sales</v>
      </c>
      <c r="D3" s="1" t="str">
        <f t="shared" si="0"/>
        <v>Apr Top 5 Sales</v>
      </c>
    </row>
    <row r="4" spans="1:9" x14ac:dyDescent="0.25">
      <c r="A4" s="18">
        <f>SUM(LARGE(A8:A20,{1,2,3,4,5}))</f>
        <v>461790</v>
      </c>
      <c r="B4" s="18">
        <f>SUM(LARGE(B8:B20,{1,2,3,4,5}))</f>
        <v>409585</v>
      </c>
      <c r="C4" s="18">
        <f>SUM(LARGE(C8:C20,{1,2,3,4,5}))</f>
        <v>461052</v>
      </c>
      <c r="D4" s="18">
        <f>SUM(LARGE(D8:D20,{1,2,3,4,5}))</f>
        <v>528061</v>
      </c>
    </row>
    <row r="7" spans="1:9" x14ac:dyDescent="0.25">
      <c r="A7" s="2" t="s">
        <v>44</v>
      </c>
      <c r="B7" s="2" t="s">
        <v>45</v>
      </c>
      <c r="C7" s="2" t="s">
        <v>46</v>
      </c>
      <c r="D7" s="2" t="s">
        <v>47</v>
      </c>
    </row>
    <row r="8" spans="1:9" x14ac:dyDescent="0.25">
      <c r="A8" s="89">
        <v>106303</v>
      </c>
      <c r="B8" s="89">
        <v>73170</v>
      </c>
      <c r="C8" s="89">
        <v>68152</v>
      </c>
      <c r="D8" s="89">
        <v>85474</v>
      </c>
    </row>
    <row r="9" spans="1:9" x14ac:dyDescent="0.25">
      <c r="A9" s="3">
        <v>22651</v>
      </c>
      <c r="B9" s="3">
        <v>29835</v>
      </c>
      <c r="C9" s="3">
        <v>708</v>
      </c>
      <c r="D9" s="3">
        <v>4238</v>
      </c>
    </row>
    <row r="10" spans="1:9" x14ac:dyDescent="0.25">
      <c r="A10" s="3">
        <v>51521</v>
      </c>
      <c r="B10" s="3">
        <v>61995</v>
      </c>
      <c r="C10" s="3">
        <v>80411</v>
      </c>
      <c r="D10" s="3">
        <v>68484</v>
      </c>
    </row>
    <row r="11" spans="1:9" x14ac:dyDescent="0.25">
      <c r="A11" s="3">
        <v>97311</v>
      </c>
      <c r="B11" s="3">
        <v>73219</v>
      </c>
      <c r="C11" s="3">
        <v>96866</v>
      </c>
      <c r="D11" s="3">
        <v>112463</v>
      </c>
    </row>
    <row r="12" spans="1:9" x14ac:dyDescent="0.25">
      <c r="A12" s="3">
        <v>15994</v>
      </c>
      <c r="B12" s="3">
        <v>64443</v>
      </c>
      <c r="C12" s="3">
        <v>41400</v>
      </c>
      <c r="D12" s="3">
        <v>86489</v>
      </c>
    </row>
    <row r="13" spans="1:9" x14ac:dyDescent="0.25">
      <c r="A13" s="3">
        <v>81925</v>
      </c>
      <c r="B13" s="3">
        <v>52387</v>
      </c>
      <c r="C13" s="3">
        <v>106117</v>
      </c>
      <c r="D13" s="3">
        <v>1100</v>
      </c>
    </row>
    <row r="14" spans="1:9" x14ac:dyDescent="0.25">
      <c r="A14" s="3">
        <v>30452</v>
      </c>
      <c r="B14" s="3">
        <v>104195</v>
      </c>
      <c r="C14" s="3">
        <v>33210</v>
      </c>
      <c r="D14" s="3">
        <v>11156</v>
      </c>
    </row>
    <row r="15" spans="1:9" x14ac:dyDescent="0.25">
      <c r="A15" s="3">
        <v>75856</v>
      </c>
      <c r="B15" s="3">
        <v>3380</v>
      </c>
      <c r="C15" s="3">
        <v>65</v>
      </c>
      <c r="D15" s="3">
        <v>111051</v>
      </c>
    </row>
    <row r="16" spans="1:9" x14ac:dyDescent="0.25">
      <c r="A16" s="3">
        <v>21757</v>
      </c>
      <c r="B16" s="3">
        <v>40699</v>
      </c>
      <c r="C16" s="3">
        <v>29888</v>
      </c>
      <c r="D16" s="3">
        <v>52040</v>
      </c>
    </row>
    <row r="17" spans="1:4" x14ac:dyDescent="0.25">
      <c r="A17" s="3">
        <v>31223</v>
      </c>
      <c r="B17" s="3">
        <v>74829</v>
      </c>
      <c r="C17" s="3">
        <v>75356</v>
      </c>
      <c r="D17" s="3">
        <v>73249</v>
      </c>
    </row>
    <row r="18" spans="1:4" x14ac:dyDescent="0.25">
      <c r="A18" s="3">
        <v>78304</v>
      </c>
      <c r="B18" s="3">
        <v>75657</v>
      </c>
      <c r="C18" s="3">
        <v>21713</v>
      </c>
      <c r="D18" s="3">
        <v>98459</v>
      </c>
    </row>
    <row r="19" spans="1:4" x14ac:dyDescent="0.25">
      <c r="A19" s="3">
        <v>97947</v>
      </c>
      <c r="B19" s="3">
        <v>81685</v>
      </c>
      <c r="C19" s="3">
        <v>102302</v>
      </c>
      <c r="D19" s="3">
        <v>84943</v>
      </c>
    </row>
    <row r="20" spans="1:4" x14ac:dyDescent="0.25">
      <c r="A20" s="3">
        <v>48080</v>
      </c>
      <c r="B20" s="3">
        <v>52265</v>
      </c>
      <c r="C20" s="3">
        <v>35407</v>
      </c>
      <c r="D20" s="3">
        <v>119599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00FF"/>
  </sheetPr>
  <dimension ref="A1:I45"/>
  <sheetViews>
    <sheetView zoomScale="85" zoomScaleNormal="85" workbookViewId="0">
      <selection activeCell="F9" sqref="F9"/>
    </sheetView>
  </sheetViews>
  <sheetFormatPr defaultRowHeight="15" x14ac:dyDescent="0.25"/>
  <cols>
    <col min="3" max="3" width="19.140625" customWidth="1"/>
    <col min="5" max="5" width="14" bestFit="1" customWidth="1"/>
    <col min="6" max="9" width="12.28515625" bestFit="1" customWidth="1"/>
  </cols>
  <sheetData>
    <row r="1" spans="1:9" x14ac:dyDescent="0.25">
      <c r="A1" s="51" t="s">
        <v>261</v>
      </c>
      <c r="B1" s="25"/>
      <c r="C1" s="25"/>
      <c r="D1" s="25"/>
      <c r="E1" s="25"/>
      <c r="F1" s="26"/>
    </row>
    <row r="3" spans="1:9" x14ac:dyDescent="0.25">
      <c r="A3" s="1" t="s">
        <v>105</v>
      </c>
      <c r="B3" s="1" t="s">
        <v>40</v>
      </c>
      <c r="C3" s="1" t="s">
        <v>260</v>
      </c>
      <c r="F3" s="68" t="s">
        <v>81</v>
      </c>
      <c r="G3" s="68" t="s">
        <v>82</v>
      </c>
      <c r="H3" s="68" t="s">
        <v>83</v>
      </c>
      <c r="I3" s="68" t="s">
        <v>84</v>
      </c>
    </row>
    <row r="4" spans="1:9" x14ac:dyDescent="0.25">
      <c r="A4" s="3" t="s">
        <v>100</v>
      </c>
      <c r="B4" s="3">
        <v>457</v>
      </c>
      <c r="C4" s="3" t="s">
        <v>258</v>
      </c>
      <c r="F4" s="89" t="s">
        <v>85</v>
      </c>
      <c r="G4" s="89" t="s">
        <v>88</v>
      </c>
      <c r="H4" s="89" t="s">
        <v>99</v>
      </c>
      <c r="I4" s="89" t="s">
        <v>102</v>
      </c>
    </row>
    <row r="5" spans="1:9" x14ac:dyDescent="0.25">
      <c r="A5" s="3" t="s">
        <v>85</v>
      </c>
      <c r="B5" s="3">
        <v>368</v>
      </c>
      <c r="C5" s="3" t="s">
        <v>258</v>
      </c>
      <c r="F5" s="3" t="s">
        <v>86</v>
      </c>
      <c r="G5" s="3" t="s">
        <v>89</v>
      </c>
      <c r="H5" s="3" t="s">
        <v>100</v>
      </c>
      <c r="I5" s="3" t="s">
        <v>103</v>
      </c>
    </row>
    <row r="6" spans="1:9" x14ac:dyDescent="0.25">
      <c r="A6" s="3" t="s">
        <v>88</v>
      </c>
      <c r="B6" s="3">
        <v>725</v>
      </c>
      <c r="C6" s="3" t="s">
        <v>259</v>
      </c>
      <c r="F6" s="3" t="s">
        <v>106</v>
      </c>
      <c r="G6" s="3" t="s">
        <v>107</v>
      </c>
      <c r="H6" s="3" t="s">
        <v>109</v>
      </c>
      <c r="I6" s="3" t="s">
        <v>108</v>
      </c>
    </row>
    <row r="7" spans="1:9" x14ac:dyDescent="0.25">
      <c r="A7" s="3" t="s">
        <v>108</v>
      </c>
      <c r="B7" s="3">
        <v>736</v>
      </c>
      <c r="C7" s="3" t="s">
        <v>259</v>
      </c>
      <c r="F7" s="3" t="s">
        <v>87</v>
      </c>
      <c r="G7" s="3" t="s">
        <v>90</v>
      </c>
      <c r="H7" s="3" t="s">
        <v>101</v>
      </c>
      <c r="I7" s="3" t="s">
        <v>104</v>
      </c>
    </row>
    <row r="8" spans="1:9" x14ac:dyDescent="0.25">
      <c r="A8" s="3" t="s">
        <v>87</v>
      </c>
      <c r="B8" s="3">
        <v>606</v>
      </c>
      <c r="C8" s="3" t="s">
        <v>259</v>
      </c>
      <c r="E8" s="68" t="s">
        <v>258</v>
      </c>
      <c r="F8" s="18">
        <f>SUMPRODUCT(SUMIFS($B$4:$B$45,$C$4:$C$45,$E8,$A$4:$A$45,F$4:F$7))</f>
        <v>5301</v>
      </c>
      <c r="G8" s="18">
        <f t="shared" ref="G8:I9" si="0">SUMPRODUCT(SUMIFS($B$4:$B$45,$C$4:$C$45,$E8,$A$4:$A$45,G$4:G$7))</f>
        <v>8162</v>
      </c>
      <c r="H8" s="18">
        <f t="shared" si="0"/>
        <v>6211</v>
      </c>
      <c r="I8" s="18">
        <f t="shared" si="0"/>
        <v>2499</v>
      </c>
    </row>
    <row r="9" spans="1:9" x14ac:dyDescent="0.25">
      <c r="A9" s="3" t="s">
        <v>89</v>
      </c>
      <c r="B9" s="3">
        <v>1418</v>
      </c>
      <c r="C9" s="3" t="s">
        <v>259</v>
      </c>
      <c r="E9" s="68" t="s">
        <v>259</v>
      </c>
      <c r="F9" s="18">
        <f>SUMPRODUCT(SUMIFS($B$4:$B$45,$C$4:$C$45,$E9,$A$4:$A$45,F$4:F$7))</f>
        <v>4307</v>
      </c>
      <c r="G9" s="18">
        <f t="shared" si="0"/>
        <v>5469</v>
      </c>
      <c r="H9" s="18">
        <f t="shared" si="0"/>
        <v>2929</v>
      </c>
      <c r="I9" s="18">
        <f t="shared" si="0"/>
        <v>2025</v>
      </c>
    </row>
    <row r="10" spans="1:9" x14ac:dyDescent="0.25">
      <c r="A10" s="3" t="s">
        <v>109</v>
      </c>
      <c r="B10" s="3">
        <v>1110</v>
      </c>
      <c r="C10" s="3" t="s">
        <v>259</v>
      </c>
    </row>
    <row r="11" spans="1:9" x14ac:dyDescent="0.25">
      <c r="A11" s="3" t="s">
        <v>107</v>
      </c>
      <c r="B11" s="3">
        <v>1489</v>
      </c>
      <c r="C11" s="3" t="s">
        <v>258</v>
      </c>
    </row>
    <row r="12" spans="1:9" x14ac:dyDescent="0.25">
      <c r="A12" s="3" t="s">
        <v>85</v>
      </c>
      <c r="B12" s="3">
        <v>175</v>
      </c>
      <c r="C12" s="3" t="s">
        <v>258</v>
      </c>
    </row>
    <row r="13" spans="1:9" x14ac:dyDescent="0.25">
      <c r="A13" s="3" t="s">
        <v>90</v>
      </c>
      <c r="B13" s="3">
        <v>1354</v>
      </c>
      <c r="C13" s="3" t="s">
        <v>259</v>
      </c>
    </row>
    <row r="14" spans="1:9" x14ac:dyDescent="0.25">
      <c r="A14" s="3" t="s">
        <v>101</v>
      </c>
      <c r="B14" s="3">
        <v>132</v>
      </c>
      <c r="C14" s="3" t="s">
        <v>258</v>
      </c>
    </row>
    <row r="15" spans="1:9" x14ac:dyDescent="0.25">
      <c r="A15" s="3" t="s">
        <v>88</v>
      </c>
      <c r="B15" s="3">
        <v>449</v>
      </c>
      <c r="C15" s="3" t="s">
        <v>259</v>
      </c>
    </row>
    <row r="16" spans="1:9" x14ac:dyDescent="0.25">
      <c r="A16" s="3" t="s">
        <v>104</v>
      </c>
      <c r="B16" s="3">
        <v>1333</v>
      </c>
      <c r="C16" s="3" t="s">
        <v>258</v>
      </c>
    </row>
    <row r="17" spans="1:3" x14ac:dyDescent="0.25">
      <c r="A17" s="3" t="s">
        <v>107</v>
      </c>
      <c r="B17" s="3">
        <v>1571</v>
      </c>
      <c r="C17" s="3" t="s">
        <v>258</v>
      </c>
    </row>
    <row r="18" spans="1:3" x14ac:dyDescent="0.25">
      <c r="A18" s="3" t="s">
        <v>89</v>
      </c>
      <c r="B18" s="3">
        <v>1553</v>
      </c>
      <c r="C18" s="3" t="s">
        <v>258</v>
      </c>
    </row>
    <row r="19" spans="1:3" x14ac:dyDescent="0.25">
      <c r="A19" s="3" t="s">
        <v>87</v>
      </c>
      <c r="B19" s="3">
        <v>1196</v>
      </c>
      <c r="C19" s="3" t="s">
        <v>259</v>
      </c>
    </row>
    <row r="20" spans="1:3" x14ac:dyDescent="0.25">
      <c r="A20" s="3" t="s">
        <v>85</v>
      </c>
      <c r="B20" s="3">
        <v>679</v>
      </c>
      <c r="C20" s="3" t="s">
        <v>258</v>
      </c>
    </row>
    <row r="21" spans="1:3" x14ac:dyDescent="0.25">
      <c r="A21" s="3" t="s">
        <v>101</v>
      </c>
      <c r="B21" s="3">
        <v>221</v>
      </c>
      <c r="C21" s="3" t="s">
        <v>259</v>
      </c>
    </row>
    <row r="22" spans="1:3" x14ac:dyDescent="0.25">
      <c r="A22" s="3" t="s">
        <v>101</v>
      </c>
      <c r="B22" s="3">
        <v>1097</v>
      </c>
      <c r="C22" s="3" t="s">
        <v>258</v>
      </c>
    </row>
    <row r="23" spans="1:3" x14ac:dyDescent="0.25">
      <c r="A23" s="3" t="s">
        <v>88</v>
      </c>
      <c r="B23" s="3">
        <v>473</v>
      </c>
      <c r="C23" s="3" t="s">
        <v>258</v>
      </c>
    </row>
    <row r="24" spans="1:3" x14ac:dyDescent="0.25">
      <c r="A24" s="3" t="s">
        <v>87</v>
      </c>
      <c r="B24" s="3">
        <v>573</v>
      </c>
      <c r="C24" s="3" t="s">
        <v>259</v>
      </c>
    </row>
    <row r="25" spans="1:3" x14ac:dyDescent="0.25">
      <c r="A25" s="3" t="s">
        <v>88</v>
      </c>
      <c r="B25" s="3">
        <v>1160</v>
      </c>
      <c r="C25" s="3" t="s">
        <v>259</v>
      </c>
    </row>
    <row r="26" spans="1:3" x14ac:dyDescent="0.25">
      <c r="A26" s="3" t="s">
        <v>85</v>
      </c>
      <c r="B26" s="3">
        <v>1268</v>
      </c>
      <c r="C26" s="3" t="s">
        <v>258</v>
      </c>
    </row>
    <row r="27" spans="1:3" x14ac:dyDescent="0.25">
      <c r="A27" s="3" t="s">
        <v>107</v>
      </c>
      <c r="B27" s="3">
        <v>1635</v>
      </c>
      <c r="C27" s="3" t="s">
        <v>258</v>
      </c>
    </row>
    <row r="28" spans="1:3" x14ac:dyDescent="0.25">
      <c r="A28" s="3" t="s">
        <v>108</v>
      </c>
      <c r="B28" s="3">
        <v>152</v>
      </c>
      <c r="C28" s="3" t="s">
        <v>258</v>
      </c>
    </row>
    <row r="29" spans="1:3" x14ac:dyDescent="0.25">
      <c r="A29" s="3" t="s">
        <v>106</v>
      </c>
      <c r="B29" s="3">
        <v>603</v>
      </c>
      <c r="C29" s="3" t="s">
        <v>258</v>
      </c>
    </row>
    <row r="30" spans="1:3" x14ac:dyDescent="0.25">
      <c r="A30" s="3" t="s">
        <v>102</v>
      </c>
      <c r="B30" s="3">
        <v>458</v>
      </c>
      <c r="C30" s="3" t="s">
        <v>258</v>
      </c>
    </row>
    <row r="31" spans="1:3" x14ac:dyDescent="0.25">
      <c r="A31" s="3" t="s">
        <v>86</v>
      </c>
      <c r="B31" s="3">
        <v>741</v>
      </c>
      <c r="C31" s="3" t="s">
        <v>259</v>
      </c>
    </row>
    <row r="32" spans="1:3" x14ac:dyDescent="0.25">
      <c r="A32" s="3" t="s">
        <v>99</v>
      </c>
      <c r="B32" s="3">
        <v>486</v>
      </c>
      <c r="C32" s="3" t="s">
        <v>258</v>
      </c>
    </row>
    <row r="33" spans="1:3" x14ac:dyDescent="0.25">
      <c r="A33" s="3" t="s">
        <v>87</v>
      </c>
      <c r="B33" s="3">
        <v>1227</v>
      </c>
      <c r="C33" s="3" t="s">
        <v>258</v>
      </c>
    </row>
    <row r="34" spans="1:3" x14ac:dyDescent="0.25">
      <c r="A34" s="3" t="s">
        <v>106</v>
      </c>
      <c r="B34" s="3">
        <v>981</v>
      </c>
      <c r="C34" s="3" t="s">
        <v>258</v>
      </c>
    </row>
    <row r="35" spans="1:3" x14ac:dyDescent="0.25">
      <c r="A35" s="3" t="s">
        <v>99</v>
      </c>
      <c r="B35" s="3">
        <v>798</v>
      </c>
      <c r="C35" s="3" t="s">
        <v>258</v>
      </c>
    </row>
    <row r="36" spans="1:3" x14ac:dyDescent="0.25">
      <c r="A36" s="3" t="s">
        <v>86</v>
      </c>
      <c r="B36" s="3">
        <v>1191</v>
      </c>
      <c r="C36" s="3" t="s">
        <v>259</v>
      </c>
    </row>
    <row r="37" spans="1:3" x14ac:dyDescent="0.25">
      <c r="A37" s="3" t="s">
        <v>88</v>
      </c>
      <c r="B37" s="3">
        <v>363</v>
      </c>
      <c r="C37" s="3" t="s">
        <v>259</v>
      </c>
    </row>
    <row r="38" spans="1:3" x14ac:dyDescent="0.25">
      <c r="A38" s="3" t="s">
        <v>109</v>
      </c>
      <c r="B38" s="3">
        <v>1332</v>
      </c>
      <c r="C38" s="3" t="s">
        <v>258</v>
      </c>
    </row>
    <row r="39" spans="1:3" x14ac:dyDescent="0.25">
      <c r="A39" s="3" t="s">
        <v>104</v>
      </c>
      <c r="B39" s="3">
        <v>1289</v>
      </c>
      <c r="C39" s="3" t="s">
        <v>259</v>
      </c>
    </row>
    <row r="40" spans="1:3" x14ac:dyDescent="0.25">
      <c r="A40" s="3" t="s">
        <v>99</v>
      </c>
      <c r="B40" s="3">
        <v>1625</v>
      </c>
      <c r="C40" s="3" t="s">
        <v>258</v>
      </c>
    </row>
    <row r="41" spans="1:3" x14ac:dyDescent="0.25">
      <c r="A41" s="3" t="s">
        <v>101</v>
      </c>
      <c r="B41" s="3">
        <v>1261</v>
      </c>
      <c r="C41" s="3" t="s">
        <v>259</v>
      </c>
    </row>
    <row r="42" spans="1:3" x14ac:dyDescent="0.25">
      <c r="A42" s="3" t="s">
        <v>104</v>
      </c>
      <c r="B42" s="3">
        <v>556</v>
      </c>
      <c r="C42" s="3" t="s">
        <v>258</v>
      </c>
    </row>
    <row r="43" spans="1:3" x14ac:dyDescent="0.25">
      <c r="A43" s="3" t="s">
        <v>107</v>
      </c>
      <c r="B43" s="3">
        <v>1441</v>
      </c>
      <c r="C43" s="3" t="s">
        <v>258</v>
      </c>
    </row>
    <row r="44" spans="1:3" x14ac:dyDescent="0.25">
      <c r="A44" s="3" t="s">
        <v>99</v>
      </c>
      <c r="B44" s="3">
        <v>337</v>
      </c>
      <c r="C44" s="3" t="s">
        <v>259</v>
      </c>
    </row>
    <row r="45" spans="1:3" x14ac:dyDescent="0.25">
      <c r="A45" s="3" t="s">
        <v>99</v>
      </c>
      <c r="B45" s="3">
        <v>284</v>
      </c>
      <c r="C45" s="3" t="s">
        <v>258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0000"/>
  </sheetPr>
  <dimension ref="A1:J45"/>
  <sheetViews>
    <sheetView topLeftCell="C1" zoomScaleNormal="100" workbookViewId="0">
      <selection activeCell="F8" sqref="F8"/>
    </sheetView>
  </sheetViews>
  <sheetFormatPr defaultRowHeight="15" x14ac:dyDescent="0.25"/>
  <cols>
    <col min="3" max="3" width="19.140625" customWidth="1"/>
    <col min="5" max="5" width="14" bestFit="1" customWidth="1"/>
    <col min="6" max="9" width="14" customWidth="1"/>
    <col min="10" max="10" width="17.85546875" bestFit="1" customWidth="1"/>
  </cols>
  <sheetData>
    <row r="1" spans="1:10" x14ac:dyDescent="0.25">
      <c r="A1" s="51" t="s">
        <v>261</v>
      </c>
      <c r="B1" s="25"/>
      <c r="C1" s="25"/>
      <c r="D1" s="25"/>
      <c r="E1" s="25"/>
      <c r="F1" s="26"/>
    </row>
    <row r="3" spans="1:10" x14ac:dyDescent="0.25">
      <c r="A3" s="1" t="s">
        <v>105</v>
      </c>
      <c r="B3" s="1" t="s">
        <v>40</v>
      </c>
      <c r="C3" s="1" t="s">
        <v>260</v>
      </c>
      <c r="F3" s="68" t="s">
        <v>81</v>
      </c>
      <c r="G3" s="68" t="s">
        <v>82</v>
      </c>
      <c r="H3" s="68" t="s">
        <v>83</v>
      </c>
      <c r="I3" s="68" t="s">
        <v>84</v>
      </c>
    </row>
    <row r="4" spans="1:10" x14ac:dyDescent="0.25">
      <c r="A4" s="3" t="s">
        <v>100</v>
      </c>
      <c r="B4" s="3">
        <v>457</v>
      </c>
      <c r="C4" s="3" t="s">
        <v>258</v>
      </c>
      <c r="F4" s="89" t="s">
        <v>85</v>
      </c>
      <c r="G4" s="89" t="s">
        <v>88</v>
      </c>
      <c r="H4" s="89" t="s">
        <v>99</v>
      </c>
      <c r="I4" s="89" t="s">
        <v>102</v>
      </c>
    </row>
    <row r="5" spans="1:10" x14ac:dyDescent="0.25">
      <c r="A5" s="3" t="s">
        <v>85</v>
      </c>
      <c r="B5" s="3">
        <v>368</v>
      </c>
      <c r="C5" s="3" t="s">
        <v>258</v>
      </c>
      <c r="F5" s="3" t="s">
        <v>86</v>
      </c>
      <c r="G5" s="3" t="s">
        <v>89</v>
      </c>
      <c r="H5" s="3" t="s">
        <v>100</v>
      </c>
      <c r="I5" s="3" t="s">
        <v>103</v>
      </c>
    </row>
    <row r="6" spans="1:10" x14ac:dyDescent="0.25">
      <c r="A6" s="3" t="s">
        <v>88</v>
      </c>
      <c r="B6" s="3">
        <v>725</v>
      </c>
      <c r="C6" s="3" t="s">
        <v>259</v>
      </c>
      <c r="F6" s="3" t="s">
        <v>106</v>
      </c>
      <c r="G6" s="3" t="s">
        <v>107</v>
      </c>
      <c r="H6" s="3" t="s">
        <v>109</v>
      </c>
      <c r="I6" s="3" t="s">
        <v>108</v>
      </c>
    </row>
    <row r="7" spans="1:10" x14ac:dyDescent="0.25">
      <c r="A7" s="3" t="s">
        <v>108</v>
      </c>
      <c r="B7" s="3">
        <v>736</v>
      </c>
      <c r="C7" s="3" t="s">
        <v>259</v>
      </c>
      <c r="F7" s="3" t="s">
        <v>87</v>
      </c>
      <c r="G7" s="3" t="s">
        <v>90</v>
      </c>
      <c r="H7" s="3" t="s">
        <v>101</v>
      </c>
      <c r="I7" s="3" t="s">
        <v>104</v>
      </c>
    </row>
    <row r="8" spans="1:10" x14ac:dyDescent="0.25">
      <c r="A8" s="3" t="s">
        <v>87</v>
      </c>
      <c r="B8" s="3">
        <v>606</v>
      </c>
      <c r="C8" s="3" t="s">
        <v>259</v>
      </c>
      <c r="E8" s="68" t="s">
        <v>258</v>
      </c>
      <c r="F8" s="18">
        <f t="shared" ref="F8:I9" si="0">SUMPRODUCT(SUMIFS($B$4:$B$45,$C$4:$C$45,$E8,$A$4:$A$45,F$4:F$7))</f>
        <v>5301</v>
      </c>
      <c r="G8" s="18">
        <f t="shared" si="0"/>
        <v>8162</v>
      </c>
      <c r="H8" s="18">
        <f t="shared" si="0"/>
        <v>6211</v>
      </c>
      <c r="I8" s="18">
        <f t="shared" si="0"/>
        <v>2499</v>
      </c>
    </row>
    <row r="9" spans="1:10" x14ac:dyDescent="0.25">
      <c r="A9" s="3" t="s">
        <v>89</v>
      </c>
      <c r="B9" s="3">
        <v>1418</v>
      </c>
      <c r="C9" s="3" t="s">
        <v>259</v>
      </c>
      <c r="E9" s="68" t="s">
        <v>259</v>
      </c>
      <c r="F9" s="18">
        <f t="shared" si="0"/>
        <v>4307</v>
      </c>
      <c r="G9" s="18">
        <f t="shared" si="0"/>
        <v>5469</v>
      </c>
      <c r="H9" s="18">
        <f t="shared" si="0"/>
        <v>2929</v>
      </c>
      <c r="I9" s="18">
        <f t="shared" si="0"/>
        <v>2025</v>
      </c>
    </row>
    <row r="10" spans="1:10" x14ac:dyDescent="0.25">
      <c r="A10" s="3" t="s">
        <v>109</v>
      </c>
      <c r="B10" s="3">
        <v>1110</v>
      </c>
      <c r="C10" s="3" t="s">
        <v>259</v>
      </c>
    </row>
    <row r="11" spans="1:10" x14ac:dyDescent="0.25">
      <c r="A11" s="3" t="s">
        <v>107</v>
      </c>
      <c r="B11" s="3">
        <v>1489</v>
      </c>
      <c r="C11" s="3" t="s">
        <v>258</v>
      </c>
      <c r="E11" s="4" t="s">
        <v>262</v>
      </c>
      <c r="F11" s="90" t="s">
        <v>105</v>
      </c>
      <c r="G11" t="s">
        <v>266</v>
      </c>
      <c r="J11" t="s">
        <v>268</v>
      </c>
    </row>
    <row r="12" spans="1:10" x14ac:dyDescent="0.25">
      <c r="A12" s="3" t="s">
        <v>85</v>
      </c>
      <c r="B12" s="3">
        <v>175</v>
      </c>
      <c r="C12" s="3" t="s">
        <v>258</v>
      </c>
    </row>
    <row r="13" spans="1:10" x14ac:dyDescent="0.25">
      <c r="A13" s="3" t="s">
        <v>90</v>
      </c>
      <c r="B13" s="3">
        <v>1354</v>
      </c>
      <c r="C13" s="3" t="s">
        <v>259</v>
      </c>
      <c r="F13" s="90" t="s">
        <v>264</v>
      </c>
      <c r="G13" t="s">
        <v>263</v>
      </c>
    </row>
    <row r="14" spans="1:10" x14ac:dyDescent="0.25">
      <c r="A14" s="3" t="s">
        <v>101</v>
      </c>
      <c r="B14" s="3">
        <v>132</v>
      </c>
      <c r="C14" s="3" t="s">
        <v>258</v>
      </c>
      <c r="F14" s="91" t="s">
        <v>258</v>
      </c>
      <c r="G14" s="54">
        <v>5301</v>
      </c>
    </row>
    <row r="15" spans="1:10" x14ac:dyDescent="0.25">
      <c r="A15" s="3" t="s">
        <v>88</v>
      </c>
      <c r="B15" s="3">
        <v>449</v>
      </c>
      <c r="C15" s="3" t="s">
        <v>259</v>
      </c>
      <c r="F15" s="91" t="s">
        <v>259</v>
      </c>
      <c r="G15" s="54">
        <v>4307</v>
      </c>
    </row>
    <row r="16" spans="1:10" x14ac:dyDescent="0.25">
      <c r="A16" s="3" t="s">
        <v>104</v>
      </c>
      <c r="B16" s="3">
        <v>1333</v>
      </c>
      <c r="C16" s="3" t="s">
        <v>258</v>
      </c>
      <c r="F16" s="91" t="s">
        <v>265</v>
      </c>
      <c r="G16" s="54">
        <v>9608</v>
      </c>
    </row>
    <row r="17" spans="1:10" x14ac:dyDescent="0.25">
      <c r="A17" s="3" t="s">
        <v>107</v>
      </c>
      <c r="B17" s="3">
        <v>1571</v>
      </c>
      <c r="C17" s="3" t="s">
        <v>258</v>
      </c>
    </row>
    <row r="18" spans="1:10" x14ac:dyDescent="0.25">
      <c r="A18" s="3" t="s">
        <v>89</v>
      </c>
      <c r="B18" s="3">
        <v>1553</v>
      </c>
      <c r="C18" s="3" t="s">
        <v>258</v>
      </c>
      <c r="G18" s="90" t="s">
        <v>105</v>
      </c>
      <c r="H18" t="s">
        <v>266</v>
      </c>
    </row>
    <row r="19" spans="1:10" x14ac:dyDescent="0.25">
      <c r="A19" s="3" t="s">
        <v>87</v>
      </c>
      <c r="B19" s="3">
        <v>1196</v>
      </c>
      <c r="C19" s="3" t="s">
        <v>259</v>
      </c>
    </row>
    <row r="20" spans="1:10" x14ac:dyDescent="0.25">
      <c r="A20" s="3" t="s">
        <v>85</v>
      </c>
      <c r="B20" s="3">
        <v>679</v>
      </c>
      <c r="C20" s="3" t="s">
        <v>258</v>
      </c>
      <c r="G20" s="90" t="s">
        <v>264</v>
      </c>
      <c r="H20" t="s">
        <v>263</v>
      </c>
    </row>
    <row r="21" spans="1:10" x14ac:dyDescent="0.25">
      <c r="A21" s="3" t="s">
        <v>101</v>
      </c>
      <c r="B21" s="3">
        <v>221</v>
      </c>
      <c r="C21" s="3" t="s">
        <v>259</v>
      </c>
      <c r="G21" s="91" t="s">
        <v>258</v>
      </c>
      <c r="H21" s="54">
        <v>8162</v>
      </c>
    </row>
    <row r="22" spans="1:10" x14ac:dyDescent="0.25">
      <c r="A22" s="3" t="s">
        <v>101</v>
      </c>
      <c r="B22" s="3">
        <v>1097</v>
      </c>
      <c r="C22" s="3" t="s">
        <v>258</v>
      </c>
      <c r="G22" s="91" t="s">
        <v>259</v>
      </c>
      <c r="H22" s="54">
        <v>5469</v>
      </c>
    </row>
    <row r="23" spans="1:10" x14ac:dyDescent="0.25">
      <c r="A23" s="3" t="s">
        <v>88</v>
      </c>
      <c r="B23" s="3">
        <v>473</v>
      </c>
      <c r="C23" s="3" t="s">
        <v>258</v>
      </c>
      <c r="G23" s="91" t="s">
        <v>265</v>
      </c>
      <c r="H23" s="54">
        <v>13631</v>
      </c>
    </row>
    <row r="24" spans="1:10" x14ac:dyDescent="0.25">
      <c r="A24" s="3" t="s">
        <v>87</v>
      </c>
      <c r="B24" s="3">
        <v>573</v>
      </c>
      <c r="C24" s="3" t="s">
        <v>259</v>
      </c>
    </row>
    <row r="25" spans="1:10" x14ac:dyDescent="0.25">
      <c r="A25" s="3" t="s">
        <v>88</v>
      </c>
      <c r="B25" s="3">
        <v>1160</v>
      </c>
      <c r="C25" s="3" t="s">
        <v>259</v>
      </c>
      <c r="H25" s="90" t="s">
        <v>105</v>
      </c>
      <c r="I25" t="s">
        <v>266</v>
      </c>
    </row>
    <row r="26" spans="1:10" x14ac:dyDescent="0.25">
      <c r="A26" s="3" t="s">
        <v>85</v>
      </c>
      <c r="B26" s="3">
        <v>1268</v>
      </c>
      <c r="C26" s="3" t="s">
        <v>258</v>
      </c>
    </row>
    <row r="27" spans="1:10" x14ac:dyDescent="0.25">
      <c r="A27" s="3" t="s">
        <v>107</v>
      </c>
      <c r="B27" s="3">
        <v>1635</v>
      </c>
      <c r="C27" s="3" t="s">
        <v>258</v>
      </c>
      <c r="H27" s="90" t="s">
        <v>264</v>
      </c>
      <c r="I27" t="s">
        <v>263</v>
      </c>
    </row>
    <row r="28" spans="1:10" x14ac:dyDescent="0.25">
      <c r="A28" s="3" t="s">
        <v>108</v>
      </c>
      <c r="B28" s="3">
        <v>152</v>
      </c>
      <c r="C28" s="3" t="s">
        <v>258</v>
      </c>
      <c r="H28" s="91" t="s">
        <v>258</v>
      </c>
      <c r="I28" s="54">
        <v>6211</v>
      </c>
    </row>
    <row r="29" spans="1:10" x14ac:dyDescent="0.25">
      <c r="A29" s="3" t="s">
        <v>106</v>
      </c>
      <c r="B29" s="3">
        <v>603</v>
      </c>
      <c r="C29" s="3" t="s">
        <v>258</v>
      </c>
      <c r="H29" s="91" t="s">
        <v>259</v>
      </c>
      <c r="I29" s="54">
        <v>2929</v>
      </c>
    </row>
    <row r="30" spans="1:10" x14ac:dyDescent="0.25">
      <c r="A30" s="3" t="s">
        <v>102</v>
      </c>
      <c r="B30" s="3">
        <v>458</v>
      </c>
      <c r="C30" s="3" t="s">
        <v>258</v>
      </c>
      <c r="H30" s="91" t="s">
        <v>265</v>
      </c>
      <c r="I30" s="54">
        <v>9140</v>
      </c>
    </row>
    <row r="31" spans="1:10" x14ac:dyDescent="0.25">
      <c r="A31" s="3" t="s">
        <v>86</v>
      </c>
      <c r="B31" s="3">
        <v>741</v>
      </c>
      <c r="C31" s="3" t="s">
        <v>259</v>
      </c>
    </row>
    <row r="32" spans="1:10" x14ac:dyDescent="0.25">
      <c r="A32" s="3" t="s">
        <v>99</v>
      </c>
      <c r="B32" s="3">
        <v>486</v>
      </c>
      <c r="C32" s="3" t="s">
        <v>258</v>
      </c>
      <c r="I32" s="90" t="s">
        <v>105</v>
      </c>
      <c r="J32" t="s">
        <v>266</v>
      </c>
    </row>
    <row r="33" spans="1:10" x14ac:dyDescent="0.25">
      <c r="A33" s="3" t="s">
        <v>87</v>
      </c>
      <c r="B33" s="3">
        <v>1227</v>
      </c>
      <c r="C33" s="3" t="s">
        <v>258</v>
      </c>
    </row>
    <row r="34" spans="1:10" x14ac:dyDescent="0.25">
      <c r="A34" s="3" t="s">
        <v>106</v>
      </c>
      <c r="B34" s="3">
        <v>981</v>
      </c>
      <c r="C34" s="3" t="s">
        <v>258</v>
      </c>
      <c r="I34" s="90" t="s">
        <v>264</v>
      </c>
      <c r="J34" t="s">
        <v>263</v>
      </c>
    </row>
    <row r="35" spans="1:10" x14ac:dyDescent="0.25">
      <c r="A35" s="3" t="s">
        <v>99</v>
      </c>
      <c r="B35" s="3">
        <v>798</v>
      </c>
      <c r="C35" s="3" t="s">
        <v>258</v>
      </c>
      <c r="I35" s="91" t="s">
        <v>258</v>
      </c>
      <c r="J35" s="54">
        <v>2499</v>
      </c>
    </row>
    <row r="36" spans="1:10" x14ac:dyDescent="0.25">
      <c r="A36" s="3" t="s">
        <v>86</v>
      </c>
      <c r="B36" s="3">
        <v>1191</v>
      </c>
      <c r="C36" s="3" t="s">
        <v>259</v>
      </c>
      <c r="I36" s="91" t="s">
        <v>259</v>
      </c>
      <c r="J36" s="54">
        <v>2025</v>
      </c>
    </row>
    <row r="37" spans="1:10" x14ac:dyDescent="0.25">
      <c r="A37" s="3" t="s">
        <v>88</v>
      </c>
      <c r="B37" s="3">
        <v>363</v>
      </c>
      <c r="C37" s="3" t="s">
        <v>259</v>
      </c>
      <c r="I37" s="91" t="s">
        <v>265</v>
      </c>
      <c r="J37" s="54">
        <v>4524</v>
      </c>
    </row>
    <row r="38" spans="1:10" x14ac:dyDescent="0.25">
      <c r="A38" s="3" t="s">
        <v>109</v>
      </c>
      <c r="B38" s="3">
        <v>1332</v>
      </c>
      <c r="C38" s="3" t="s">
        <v>258</v>
      </c>
    </row>
    <row r="39" spans="1:10" x14ac:dyDescent="0.25">
      <c r="A39" s="3" t="s">
        <v>104</v>
      </c>
      <c r="B39" s="3">
        <v>1289</v>
      </c>
      <c r="C39" s="3" t="s">
        <v>259</v>
      </c>
    </row>
    <row r="40" spans="1:10" x14ac:dyDescent="0.25">
      <c r="A40" s="3" t="s">
        <v>99</v>
      </c>
      <c r="B40" s="3">
        <v>1625</v>
      </c>
      <c r="C40" s="3" t="s">
        <v>258</v>
      </c>
    </row>
    <row r="41" spans="1:10" x14ac:dyDescent="0.25">
      <c r="A41" s="3" t="s">
        <v>101</v>
      </c>
      <c r="B41" s="3">
        <v>1261</v>
      </c>
      <c r="C41" s="3" t="s">
        <v>259</v>
      </c>
    </row>
    <row r="42" spans="1:10" x14ac:dyDescent="0.25">
      <c r="A42" s="3" t="s">
        <v>104</v>
      </c>
      <c r="B42" s="3">
        <v>556</v>
      </c>
      <c r="C42" s="3" t="s">
        <v>258</v>
      </c>
    </row>
    <row r="43" spans="1:10" x14ac:dyDescent="0.25">
      <c r="A43" s="3" t="s">
        <v>107</v>
      </c>
      <c r="B43" s="3">
        <v>1441</v>
      </c>
      <c r="C43" s="3" t="s">
        <v>258</v>
      </c>
    </row>
    <row r="44" spans="1:10" x14ac:dyDescent="0.25">
      <c r="A44" s="3" t="s">
        <v>99</v>
      </c>
      <c r="B44" s="3">
        <v>337</v>
      </c>
      <c r="C44" s="3" t="s">
        <v>259</v>
      </c>
    </row>
    <row r="45" spans="1:10" x14ac:dyDescent="0.25">
      <c r="A45" s="3" t="s">
        <v>99</v>
      </c>
      <c r="B45" s="3">
        <v>284</v>
      </c>
      <c r="C45" s="3" t="s">
        <v>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Topics</vt:lpstr>
      <vt:lpstr>Video 02 Reminder</vt:lpstr>
      <vt:lpstr>Cliff Notes</vt:lpstr>
      <vt:lpstr>Array Formulas</vt:lpstr>
      <vt:lpstr>Array Formulas (an)</vt:lpstr>
      <vt:lpstr>SizeShape</vt:lpstr>
      <vt:lpstr>Homework ==&gt;&gt;</vt:lpstr>
      <vt:lpstr>HW(1)</vt:lpstr>
      <vt:lpstr>HW(1an)</vt:lpstr>
      <vt:lpstr>HW(2)</vt:lpstr>
      <vt:lpstr>HW(2an)</vt:lpstr>
      <vt:lpstr>HW(3)</vt:lpstr>
      <vt:lpstr>HW(3an)</vt:lpstr>
      <vt:lpstr>HW(4)</vt:lpstr>
      <vt:lpstr>HW(4an)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2018-09-11T16:09:04Z</dcterms:modified>
</cp:coreProperties>
</file>