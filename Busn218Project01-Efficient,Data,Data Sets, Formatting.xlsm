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mc:AlternateContent xmlns:mc="http://schemas.openxmlformats.org/markup-compatibility/2006">
    <mc:Choice Requires="x15">
      <x15ac:absPath xmlns:x15ac="http://schemas.microsoft.com/office/spreadsheetml/2010/11/ac" url="C:\Users\dinht\Downloads\"/>
    </mc:Choice>
  </mc:AlternateContent>
  <xr:revisionPtr revIDLastSave="0" documentId="13_ncr:1_{AECFB067-D1BB-43CC-9B9C-CFCAD56CEBB8}" xr6:coauthVersionLast="37" xr6:coauthVersionMax="37" xr10:uidLastSave="{00000000-0000-0000-0000-000000000000}"/>
  <bookViews>
    <workbookView xWindow="0" yWindow="0" windowWidth="24000" windowHeight="8685" firstSheet="1" activeTab="1" xr2:uid="{00000000-000D-0000-FFFF-FFFF00000000}"/>
  </bookViews>
  <sheets>
    <sheet name="Score" sheetId="2" state="veryHidden" r:id="rId1"/>
    <sheet name="GrossPayPV" sheetId="4" r:id="rId2"/>
    <sheet name="Project(1)" sheetId="1" r:id="rId3"/>
    <sheet name="Project(1an)" sheetId="3" state="veryHidden" r:id="rId4"/>
  </sheets>
  <externalReferences>
    <externalReference r:id="rId5"/>
  </externalReferences>
  <definedNames>
    <definedName name="ExternalData_1" localSheetId="1" hidden="1">GrossPayPV!$A$1:$D$50</definedName>
    <definedName name="_xlnm.Print_Area" localSheetId="2">'Project(1)'!$B$6:$H$9</definedName>
    <definedName name="_xlnm.Print_Area" localSheetId="3">'Project(1an)'!$B$14:$I$17</definedName>
    <definedName name="TypeANSWER">'[1]DV (an)'!$G$58:$J$58</definedName>
  </definedNames>
  <calcPr calcId="179021"/>
  <pivotCaches>
    <pivotCache cacheId="0" r:id="rId6"/>
    <pivotCache cacheId="3"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 i="4"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2" i="4"/>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9" i="1"/>
  <c r="C6" i="2" l="1"/>
  <c r="C3" i="2"/>
  <c r="D6" i="2"/>
  <c r="D3" i="2" l="1"/>
  <c r="C9" i="2"/>
  <c r="D9" i="2"/>
  <c r="D10" i="2"/>
  <c r="B10" i="2"/>
  <c r="C8" i="2"/>
  <c r="D8" i="2" s="1"/>
  <c r="C2" i="2"/>
  <c r="C4" i="2"/>
  <c r="D4" i="2" s="1"/>
  <c r="C5" i="2"/>
  <c r="D5" i="2" s="1"/>
  <c r="C7" i="2"/>
  <c r="D7" i="2" s="1"/>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E10" i="3"/>
  <c r="I10" i="3" s="1"/>
  <c r="E11" i="3"/>
  <c r="E12" i="3"/>
  <c r="G12" i="3" s="1"/>
  <c r="E13" i="3"/>
  <c r="I13" i="3" s="1"/>
  <c r="E14" i="3"/>
  <c r="I14" i="3" s="1"/>
  <c r="E15" i="3"/>
  <c r="E16" i="3"/>
  <c r="G16" i="3" s="1"/>
  <c r="E17" i="3"/>
  <c r="I17" i="3" s="1"/>
  <c r="E18" i="3"/>
  <c r="I18" i="3" s="1"/>
  <c r="E19" i="3"/>
  <c r="E20" i="3"/>
  <c r="G20" i="3" s="1"/>
  <c r="E21" i="3"/>
  <c r="I21" i="3" s="1"/>
  <c r="E22" i="3"/>
  <c r="I22" i="3" s="1"/>
  <c r="E23" i="3"/>
  <c r="E24" i="3"/>
  <c r="G24" i="3" s="1"/>
  <c r="E25" i="3"/>
  <c r="I25" i="3" s="1"/>
  <c r="E26" i="3"/>
  <c r="I26" i="3" s="1"/>
  <c r="E27" i="3"/>
  <c r="E28" i="3"/>
  <c r="G28" i="3" s="1"/>
  <c r="E29" i="3"/>
  <c r="I29" i="3" s="1"/>
  <c r="E30" i="3"/>
  <c r="I30" i="3" s="1"/>
  <c r="E31" i="3"/>
  <c r="E32" i="3"/>
  <c r="G32" i="3" s="1"/>
  <c r="E33" i="3"/>
  <c r="I33" i="3" s="1"/>
  <c r="E34" i="3"/>
  <c r="I34" i="3" s="1"/>
  <c r="E35" i="3"/>
  <c r="E36" i="3"/>
  <c r="G36" i="3" s="1"/>
  <c r="E37" i="3"/>
  <c r="I37" i="3" s="1"/>
  <c r="E38" i="3"/>
  <c r="I38" i="3" s="1"/>
  <c r="E39" i="3"/>
  <c r="E40" i="3"/>
  <c r="G40" i="3" s="1"/>
  <c r="E41" i="3"/>
  <c r="I41" i="3" s="1"/>
  <c r="E42" i="3"/>
  <c r="I42" i="3" s="1"/>
  <c r="E43" i="3"/>
  <c r="E44" i="3"/>
  <c r="G44" i="3" s="1"/>
  <c r="E45" i="3"/>
  <c r="I45" i="3" s="1"/>
  <c r="E46" i="3"/>
  <c r="I46" i="3" s="1"/>
  <c r="E47" i="3"/>
  <c r="E48" i="3"/>
  <c r="G48" i="3" s="1"/>
  <c r="E49" i="3"/>
  <c r="I49" i="3" s="1"/>
  <c r="E50" i="3"/>
  <c r="I50" i="3" s="1"/>
  <c r="E51" i="3"/>
  <c r="E52" i="3"/>
  <c r="G52" i="3" s="1"/>
  <c r="E53" i="3"/>
  <c r="I53" i="3" s="1"/>
  <c r="E54" i="3"/>
  <c r="I54" i="3" s="1"/>
  <c r="E55" i="3"/>
  <c r="E56" i="3"/>
  <c r="G56" i="3" s="1"/>
  <c r="E57" i="3"/>
  <c r="I57" i="3" s="1"/>
  <c r="E9" i="3"/>
  <c r="I9" i="3" s="1"/>
  <c r="G54" i="3" l="1"/>
  <c r="G50" i="3"/>
  <c r="G46" i="3"/>
  <c r="G42" i="3"/>
  <c r="G38" i="3"/>
  <c r="G34" i="3"/>
  <c r="G30" i="3"/>
  <c r="G26" i="3"/>
  <c r="G22" i="3"/>
  <c r="G18" i="3"/>
  <c r="G14" i="3"/>
  <c r="G10" i="3"/>
  <c r="G57" i="3"/>
  <c r="G53" i="3"/>
  <c r="G9" i="3"/>
  <c r="L18" i="3" s="1"/>
  <c r="L21" i="3"/>
  <c r="I56" i="3"/>
  <c r="I52" i="3"/>
  <c r="I48" i="3"/>
  <c r="I44" i="3"/>
  <c r="I40" i="3"/>
  <c r="I36" i="3"/>
  <c r="I32" i="3"/>
  <c r="I28" i="3"/>
  <c r="I24" i="3"/>
  <c r="I20" i="3"/>
  <c r="I16" i="3"/>
  <c r="I12" i="3"/>
  <c r="C11" i="2"/>
  <c r="G55" i="3"/>
  <c r="G51" i="3"/>
  <c r="G47" i="3"/>
  <c r="G43" i="3"/>
  <c r="G39" i="3"/>
  <c r="G35" i="3"/>
  <c r="G31" i="3"/>
  <c r="G27" i="3"/>
  <c r="G23" i="3"/>
  <c r="G19" i="3"/>
  <c r="G15" i="3"/>
  <c r="L24" i="3" s="1"/>
  <c r="G11" i="3"/>
  <c r="I55" i="3"/>
  <c r="I51" i="3"/>
  <c r="I47" i="3"/>
  <c r="I43" i="3"/>
  <c r="I39" i="3"/>
  <c r="I35" i="3"/>
  <c r="I31" i="3"/>
  <c r="I27" i="3"/>
  <c r="I23" i="3"/>
  <c r="I19" i="3"/>
  <c r="I15" i="3"/>
  <c r="I59" i="3" s="1"/>
  <c r="I11" i="3"/>
  <c r="G49" i="3"/>
  <c r="G45" i="3"/>
  <c r="G41" i="3"/>
  <c r="G37" i="3"/>
  <c r="G33" i="3"/>
  <c r="G29" i="3"/>
  <c r="G25" i="3"/>
  <c r="G21" i="3"/>
  <c r="G17" i="3"/>
  <c r="G13" i="3"/>
  <c r="D2" i="2"/>
  <c r="L19" i="3" l="1"/>
  <c r="G59" i="3"/>
  <c r="L22" i="3"/>
  <c r="L25" i="3" s="1"/>
  <c r="L23" i="3"/>
  <c r="L2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2512F9-C6D2-4D03-A4BA-DF35AA620816}" keepAlive="1" name="Query - Wage" description="Connection to the 'Wage' query in the workbook." type="5" refreshedVersion="6" background="1" saveData="1">
    <dbPr connection="Provider=Microsoft.Mashup.OleDb.1;Data Source=$Workbook$;Location=Wage;Extended Properties=&quot;&quot;" command="SELECT * FROM [Wage]"/>
  </connection>
</connections>
</file>

<file path=xl/sharedStrings.xml><?xml version="1.0" encoding="utf-8"?>
<sst xmlns="http://schemas.openxmlformats.org/spreadsheetml/2006/main" count="249" uniqueCount="51">
  <si>
    <t>Hourly Wage</t>
  </si>
  <si>
    <t>Time In</t>
  </si>
  <si>
    <t>Time Out</t>
  </si>
  <si>
    <t>Hours Worked</t>
  </si>
  <si>
    <t>Possible Points</t>
  </si>
  <si>
    <t>Your Points</t>
  </si>
  <si>
    <t>Comments</t>
  </si>
  <si>
    <t>Graded Element</t>
  </si>
  <si>
    <t>Taneka Guess</t>
  </si>
  <si>
    <t>Heriberto Cheek</t>
  </si>
  <si>
    <t>Irina Valles</t>
  </si>
  <si>
    <t>Dick Condon</t>
  </si>
  <si>
    <t>Georgetta Mayes</t>
  </si>
  <si>
    <t>Precious Pettis</t>
  </si>
  <si>
    <t>Louetta Peoples</t>
  </si>
  <si>
    <t>Employee</t>
  </si>
  <si>
    <t>Date Worked</t>
  </si>
  <si>
    <t>9:00AM</t>
  </si>
  <si>
    <t>7:30AM</t>
  </si>
  <si>
    <t>3:18PM</t>
  </si>
  <si>
    <t>Below are the two data sets: 1) Data set with times that employees have worked per day and 2) Table with Employee Wages.</t>
  </si>
  <si>
    <t>Fix Text Time Data in cells C14, C33 and D51.</t>
  </si>
  <si>
    <t>Fix Text Time Data in cells C14, C33 and D51. You needed to add a space between the time value and the AM/PM.</t>
  </si>
  <si>
    <t>Wage</t>
  </si>
  <si>
    <t>You did not use  a lookup formula to get wage for each employee. Something like: =VLOOKUP(B7,$K$7:$L$13,2,0) would work.</t>
  </si>
  <si>
    <t>Gross Pay</t>
  </si>
  <si>
    <t>Calculate Hours Worked with a formula like: =(D7-C7)*24</t>
  </si>
  <si>
    <t>You needed to use a formula like: =(D7-C7)*24 to get the time value (Proportion of 24 hour day) to become Number of Hours Worked.</t>
  </si>
  <si>
    <t>You must create an effective and efficient solution.</t>
  </si>
  <si>
    <t>Not Rounded:</t>
  </si>
  <si>
    <t>&lt;&lt;== Incorrect Total</t>
  </si>
  <si>
    <t>Total:</t>
  </si>
  <si>
    <t>Number Formatting, like Currency.</t>
  </si>
  <si>
    <t>You did not have Number Formatting, like Currency.</t>
  </si>
  <si>
    <t>Other</t>
  </si>
  <si>
    <t>Total Possible:</t>
  </si>
  <si>
    <t>Because it says "calculate the Total Gross Pay for all employees", you must use ROUND. The Number of Hours Worked have extraneous decimals that need to be rounded so that when we add all of the individual gross pay amounts the SUM function does not add the extraneous decimals and can therefore get the correct answer. Something like: =ROUND(F7*E7,2). The correct answer with rounding is: $9,587.42. If you don't round you get:  9587.38.</t>
  </si>
  <si>
    <t>Because it says "calculate the Total Gross Pay for all employees", you must use ROUND. The Number of Hours Worked have extraneous decimals that need to be rounded so that when we add all of the individual gross pay amounts the SUM function does not add the extraneous decimals and can therefore get the correct answer. Something like: =ROUND(F7*E7,2). The correct answer with rounding is: $9,587.42. If you don't round you get:  $9,587.38.</t>
  </si>
  <si>
    <t>Gross</t>
  </si>
  <si>
    <t>Total</t>
  </si>
  <si>
    <t>Grand Total</t>
  </si>
  <si>
    <t>Sum of Gross Pay</t>
  </si>
  <si>
    <t>Your goals are:</t>
  </si>
  <si>
    <t>1) Add a new column to the data set and calculate the Gross Pay for each row in the data set, and then at the bottom calculate the Total Gross Pay for all employees.</t>
  </si>
  <si>
    <t>2) Then, off to the side, create a table that calculates the Total Gross Pay for each employee.</t>
  </si>
  <si>
    <t>Your check figure for Total Gross Pay at the bottom of the column is: $9,587.42</t>
  </si>
  <si>
    <t>Use a lookup formula to get wage for each employee. Something like: =VLOOKUP(B7,$K$7:$L$13,2,0). You can NOT use copy and paste or use other manual methods like sorting.</t>
  </si>
  <si>
    <t>Include your name in the file name, something like "Your Name Busn218Project01.xlsm". This is good file management, as we learned in Busn 216.</t>
  </si>
  <si>
    <t>You did not include your name in the file name, something like "Your Name Busn218Project01.xlsm" For future submissions, you must include your name in the file name. This is good file management, as we learned in Busn 216.</t>
  </si>
  <si>
    <t>Create Summary Employee Table. PivotTable or SUMIFS.</t>
  </si>
  <si>
    <t>1) Add a new column/s to the data set and calculate the Gross Pay for each row in the data set, and then at the bottom calculate the Total Gross Pay for all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</si>
</sst>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0.000"/>
    <numFmt numFmtId="168" formatCode="[$-F400]h:mm:ss\ AM/PM"/>
  </numFmts>
  <fonts count="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b/>
      <sz val="11"/>
      <color rgb="FF002060"/>
      <name val="Calibri"/>
      <family val="2"/>
      <scheme val="minor"/>
    </font>
  </fonts>
  <fills count="5">
    <fill>
      <patternFill patternType="none"/>
    </fill>
    <fill>
      <patternFill patternType="gray125"/>
    </fill>
    <fill>
      <patternFill patternType="solid">
        <fgColor rgb="FFFFFF99"/>
        <bgColor indexed="64"/>
      </patternFill>
    </fill>
    <fill>
      <patternFill patternType="solid">
        <fgColor rgb="FF002060"/>
        <bgColor indexed="64"/>
      </patternFill>
    </fill>
    <fill>
      <patternFill patternType="solid">
        <fgColor rgb="FFCCFFCC"/>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0">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2" fillId="3" borderId="9" xfId="0" applyFont="1" applyFill="1" applyBorder="1"/>
    <xf numFmtId="0" fontId="0" fillId="0" borderId="9" xfId="0" applyBorder="1"/>
    <xf numFmtId="18" fontId="0" fillId="0" borderId="9" xfId="0" applyNumberFormat="1" applyBorder="1"/>
    <xf numFmtId="0" fontId="0" fillId="4" borderId="9" xfId="0" applyFill="1" applyBorder="1"/>
    <xf numFmtId="164" fontId="0" fillId="4" borderId="9" xfId="0" applyNumberFormat="1" applyFill="1" applyBorder="1"/>
    <xf numFmtId="0" fontId="2" fillId="3" borderId="9" xfId="0" applyFont="1" applyFill="1" applyBorder="1" applyAlignment="1">
      <alignment wrapText="1"/>
    </xf>
    <xf numFmtId="0" fontId="0" fillId="0" borderId="9" xfId="0" applyBorder="1" applyAlignment="1">
      <alignment wrapText="1"/>
    </xf>
    <xf numFmtId="14" fontId="0" fillId="0" borderId="9" xfId="0" applyNumberFormat="1" applyBorder="1"/>
    <xf numFmtId="0" fontId="2" fillId="3" borderId="10" xfId="0" applyFont="1" applyFill="1" applyBorder="1"/>
    <xf numFmtId="0" fontId="3" fillId="0" borderId="0" xfId="0" applyFont="1"/>
    <xf numFmtId="0" fontId="1" fillId="0" borderId="11" xfId="0" applyFont="1" applyBorder="1"/>
    <xf numFmtId="165" fontId="0" fillId="4" borderId="9" xfId="0" applyNumberFormat="1" applyFill="1" applyBorder="1"/>
    <xf numFmtId="2" fontId="0" fillId="4" borderId="9" xfId="0" applyNumberFormat="1" applyFill="1" applyBorder="1"/>
    <xf numFmtId="2" fontId="1" fillId="4" borderId="12" xfId="0" applyNumberFormat="1" applyFont="1" applyFill="1" applyBorder="1"/>
    <xf numFmtId="0" fontId="1" fillId="0" borderId="0" xfId="0" applyFont="1" applyAlignment="1">
      <alignment horizontal="right"/>
    </xf>
    <xf numFmtId="0" fontId="4" fillId="0" borderId="0" xfId="0" applyFont="1"/>
    <xf numFmtId="0" fontId="0" fillId="0" borderId="0" xfId="0" pivotButton="1"/>
    <xf numFmtId="164" fontId="0" fillId="0" borderId="0" xfId="0" applyNumberFormat="1"/>
    <xf numFmtId="18" fontId="0" fillId="0" borderId="0" xfId="0" applyNumberFormat="1"/>
    <xf numFmtId="0" fontId="2" fillId="3" borderId="13" xfId="0" applyFont="1" applyFill="1" applyBorder="1"/>
    <xf numFmtId="14" fontId="0" fillId="0" borderId="13" xfId="0" applyNumberFormat="1" applyBorder="1"/>
    <xf numFmtId="22" fontId="0" fillId="0" borderId="0" xfId="0" applyNumberFormat="1"/>
    <xf numFmtId="0" fontId="0" fillId="0" borderId="0" xfId="0" applyNumberFormat="1"/>
    <xf numFmtId="168" fontId="0" fillId="0" borderId="0" xfId="0" applyNumberFormat="1"/>
    <xf numFmtId="0" fontId="0" fillId="0" borderId="13" xfId="0" applyBorder="1"/>
    <xf numFmtId="0" fontId="0" fillId="0" borderId="14" xfId="0" applyBorder="1"/>
    <xf numFmtId="0" fontId="2" fillId="3" borderId="8" xfId="0" applyFont="1" applyFill="1" applyBorder="1"/>
    <xf numFmtId="0" fontId="2" fillId="3" borderId="6" xfId="0" applyFont="1" applyFill="1" applyBorder="1"/>
    <xf numFmtId="0" fontId="0" fillId="0" borderId="3" xfId="0" applyBorder="1"/>
    <xf numFmtId="0" fontId="0" fillId="0" borderId="1" xfId="0" applyBorder="1"/>
  </cellXfs>
  <cellStyles count="1">
    <cellStyle name="Normal" xfId="0" builtinId="0"/>
  </cellStyles>
  <dxfs count="20">
    <dxf>
      <font>
        <b val="0"/>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numFmt numFmtId="168" formatCode="[$-F400]h:mm:ss\ AM/PM"/>
    </dxf>
    <dxf>
      <numFmt numFmtId="168" formatCode="[$-F400]h:mm:ss\ AM/PM"/>
    </dxf>
    <dxf>
      <numFmt numFmtId="0" formatCode="General"/>
    </dxf>
    <dxf>
      <numFmt numFmtId="27" formatCode="m/d/yyyy\ h:mm"/>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thin">
          <color indexed="64"/>
        </left>
        <right style="thin">
          <color indexed="64"/>
        </right>
        <top/>
        <bottom/>
      </border>
    </dxf>
    <dxf>
      <numFmt numFmtId="23" formatCode="h:mm\ AM/PM"/>
      <border diagonalUp="0" diagonalDown="0">
        <left style="thin">
          <color indexed="64"/>
        </left>
        <right style="thin">
          <color indexed="64"/>
        </right>
        <top style="thin">
          <color indexed="64"/>
        </top>
        <bottom style="thin">
          <color indexed="64"/>
        </bottom>
        <vertical/>
        <horizontal/>
      </border>
    </dxf>
    <dxf>
      <numFmt numFmtId="23" formatCode="h:mm\ AM/PM"/>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left/>
        <right style="thin">
          <color indexed="64"/>
        </right>
        <top style="thin">
          <color indexed="64"/>
        </top>
        <bottom style="thin">
          <color indexed="64"/>
        </bottom>
        <vertical/>
        <horizontal/>
      </border>
    </dxf>
    <dxf>
      <border outline="0">
        <left style="thin">
          <color indexed="64"/>
        </left>
      </border>
    </dxf>
    <dxf>
      <fill>
        <patternFill>
          <bgColor rgb="FF00FF00"/>
        </patternFill>
      </fill>
    </dxf>
    <dxf>
      <fill>
        <patternFill>
          <bgColor rgb="FF00FF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3CB2C2BF-2941-432A-9D8E-C6C1A8655F08}">
      <tableStyleElement type="wholeTable" dxfId="19"/>
      <tableStyleElement type="headerRow" dxfId="18"/>
    </tableStyle>
  </tableStyles>
  <colors>
    <mruColors>
      <color rgb="FFCCFFCC"/>
      <color rgb="FF00FF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00VideoExcelStorage\218\junk\Busn214-Week05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ics"/>
      <sheetName val="Errors"/>
      <sheetName val="E(1)"/>
      <sheetName val="E(1an)"/>
      <sheetName val="E(2)"/>
      <sheetName val="E(2an)"/>
      <sheetName val="E(3)"/>
      <sheetName val="E(3an)"/>
      <sheetName val="E(4)"/>
      <sheetName val="E(4an)"/>
      <sheetName val="E(5 )"/>
      <sheetName val="E(5an)"/>
      <sheetName val="DV"/>
      <sheetName val="DV (an)"/>
      <sheetName val="Flash Fill"/>
      <sheetName val="Flash Fill (an)"/>
      <sheetName val="CNF-Notes"/>
      <sheetName val="CNF"/>
      <sheetName val="CNF (an)"/>
      <sheetName val="Text Formulas"/>
      <sheetName val="Text Formulas (an)"/>
      <sheetName val="Date Functions"/>
      <sheetName val="Date Functions (an)"/>
      <sheetName val="Array Formulas"/>
      <sheetName val="Array Formulas (an)"/>
      <sheetName val="Array Functions"/>
      <sheetName val="Array Functions (an)"/>
      <sheetName val="Homework ==&gt;&gt;"/>
      <sheetName val="HW(1)"/>
      <sheetName val="HW(1an)"/>
      <sheetName val="HW(2)"/>
      <sheetName val="HW(2an)"/>
      <sheetName val="HW(3)"/>
      <sheetName val="HW(3an)"/>
      <sheetName val="HW(4)"/>
      <sheetName val="HW(4an)"/>
      <sheetName val="HW(5)"/>
      <sheetName val="HW(5an)"/>
      <sheetName val="HW(6)"/>
      <sheetName val="HW(6an)"/>
      <sheetName val="HW(7)"/>
      <sheetName val="HW(7an)"/>
      <sheetName val="HW(8)"/>
      <sheetName val="HW(8an)"/>
      <sheetName val="HW(9)"/>
      <sheetName val="HW(9an)"/>
      <sheetName val="HW(10)"/>
      <sheetName val="HW(10an)"/>
      <sheetName val="HW(11)"/>
      <sheetName val="HW(11an)"/>
      <sheetName val="HW(12)"/>
      <sheetName val="HW(12an)"/>
      <sheetName val="HW(13)"/>
      <sheetName val="HW(13an)"/>
      <sheetName val="HW(14)"/>
      <sheetName val="HW(14an)"/>
      <sheetName val="HW(15)"/>
      <sheetName val="HW(15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58">
          <cell r="G58" t="str">
            <v>FreestyleANSWER</v>
          </cell>
          <cell r="H58" t="str">
            <v>FastANSWER</v>
          </cell>
          <cell r="I58" t="str">
            <v>AussieANSWER</v>
          </cell>
          <cell r="J58" t="str">
            <v>WindANSWER</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478.624340509261" createdVersion="6" refreshedVersion="6" minRefreshableVersion="3" recordCount="49" xr:uid="{00000000-000A-0000-FFFF-FFFF00000000}">
  <cacheSource type="worksheet">
    <worksheetSource ref="A8:G57" sheet="Project(1an)"/>
  </cacheSource>
  <cacheFields count="7">
    <cacheField name="Date Worked" numFmtId="14">
      <sharedItems containsSemiMixedTypes="0" containsNonDate="0" containsDate="1" containsString="0" minDate="2016-04-11T00:00:00" maxDate="2016-04-20T00:00:00"/>
    </cacheField>
    <cacheField name="Employee" numFmtId="0">
      <sharedItems count="7">
        <s v="Taneka Guess"/>
        <s v="Heriberto Cheek"/>
        <s v="Irina Valles"/>
        <s v="Dick Condon"/>
        <s v="Georgetta Mayes"/>
        <s v="Precious Pettis"/>
        <s v="Louetta Peoples"/>
      </sharedItems>
    </cacheField>
    <cacheField name="Time In" numFmtId="18">
      <sharedItems containsSemiMixedTypes="0" containsNonDate="0" containsDate="1" containsString="0" minDate="1899-12-30T07:30:00" maxDate="1899-12-30T09:00:00"/>
    </cacheField>
    <cacheField name="Time Out" numFmtId="18">
      <sharedItems containsSemiMixedTypes="0" containsNonDate="0" containsDate="1" containsString="0" minDate="1899-12-30T13:36:00" maxDate="1899-12-30T17:00:00"/>
    </cacheField>
    <cacheField name="Wage" numFmtId="164">
      <sharedItems containsSemiMixedTypes="0" containsString="0" containsNumber="1" minValue="19.5" maxValue="36.5"/>
    </cacheField>
    <cacheField name="Hours Worked" numFmtId="165">
      <sharedItems containsSemiMixedTypes="0" containsString="0" containsNumber="1" minValue="5.9999999999999982" maxValue="8"/>
    </cacheField>
    <cacheField name="Gross Pay" numFmtId="2">
      <sharedItems containsSemiMixedTypes="0" containsString="0" containsNumber="1" minValue="120.9" maxValue="29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oc Dinh" refreshedDate="43362.934687615743" createdVersion="6" refreshedVersion="6" minRefreshableVersion="3" recordCount="49" xr:uid="{2BCB0E5F-EA75-42E5-95E1-DD4A8DD64898}">
  <cacheSource type="worksheet">
    <worksheetSource name="Wage_2"/>
  </cacheSource>
  <cacheFields count="5">
    <cacheField name="Date Worked" numFmtId="22">
      <sharedItems containsSemiMixedTypes="0" containsNonDate="0" containsDate="1" containsString="0" minDate="2016-04-11T00:00:00" maxDate="2016-04-20T00:00:00"/>
    </cacheField>
    <cacheField name="Employee" numFmtId="0">
      <sharedItems count="7">
        <s v="Taneka Guess"/>
        <s v="Heriberto Cheek"/>
        <s v="Irina Valles"/>
        <s v="Dick Condon"/>
        <s v="Georgetta Mayes"/>
        <s v="Precious Pettis"/>
        <s v="Louetta Peoples"/>
      </sharedItems>
    </cacheField>
    <cacheField name="Time In" numFmtId="168">
      <sharedItems containsSemiMixedTypes="0" containsNonDate="0" containsDate="1" containsString="0" minDate="1899-12-30T07:30:00" maxDate="1899-12-30T09:00:00"/>
    </cacheField>
    <cacheField name="Time Out" numFmtId="168">
      <sharedItems containsSemiMixedTypes="0" containsNonDate="0" containsDate="1" containsString="0" minDate="1899-12-30T13:36:00" maxDate="1899-12-30T17:00:00"/>
    </cacheField>
    <cacheField name="Gross Pay" numFmtId="0">
      <sharedItems containsSemiMixedTypes="0" containsString="0" containsNumber="1" minValue="120.89999999999999" maxValue="29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9">
  <r>
    <d v="2016-04-11T00:00:00"/>
    <x v="0"/>
    <d v="1899-12-30T08:00:00"/>
    <d v="1899-12-30T14:30:00"/>
    <n v="26.95"/>
    <n v="6.5"/>
    <n v="175.18"/>
  </r>
  <r>
    <d v="2016-04-11T00:00:00"/>
    <x v="1"/>
    <d v="1899-12-30T08:00:00"/>
    <d v="1899-12-30T14:48:00"/>
    <n v="32.5"/>
    <n v="6.8000000000000007"/>
    <n v="221"/>
  </r>
  <r>
    <d v="2016-04-11T00:00:00"/>
    <x v="2"/>
    <d v="1899-12-30T08:00:00"/>
    <d v="1899-12-30T16:00:00"/>
    <n v="36.5"/>
    <n v="8"/>
    <n v="292"/>
  </r>
  <r>
    <d v="2016-04-11T00:00:00"/>
    <x v="3"/>
    <d v="1899-12-30T08:00:00"/>
    <d v="1899-12-30T14:36:00"/>
    <n v="19.5"/>
    <n v="6.6000000000000014"/>
    <n v="128.69999999999999"/>
  </r>
  <r>
    <d v="2016-04-11T00:00:00"/>
    <x v="4"/>
    <d v="1899-12-30T09:00:00"/>
    <d v="1899-12-30T17:00:00"/>
    <n v="30"/>
    <n v="7.9999999999999982"/>
    <n v="240"/>
  </r>
  <r>
    <d v="2016-04-11T00:00:00"/>
    <x v="5"/>
    <d v="1899-12-30T09:00:00"/>
    <d v="1899-12-30T15:24:00"/>
    <n v="27.75"/>
    <n v="6.3999999999999986"/>
    <n v="177.6"/>
  </r>
  <r>
    <d v="2016-04-11T00:00:00"/>
    <x v="6"/>
    <d v="1899-12-30T09:00:00"/>
    <d v="1899-12-30T15:12:00"/>
    <n v="24"/>
    <n v="6.1999999999999993"/>
    <n v="148.80000000000001"/>
  </r>
  <r>
    <d v="2016-04-12T00:00:00"/>
    <x v="0"/>
    <d v="1899-12-30T07:30:00"/>
    <d v="1899-12-30T14:54:00"/>
    <n v="26.95"/>
    <n v="7.4"/>
    <n v="199.43"/>
  </r>
  <r>
    <d v="2016-04-12T00:00:00"/>
    <x v="1"/>
    <d v="1899-12-30T08:00:00"/>
    <d v="1899-12-30T16:00:00"/>
    <n v="32.5"/>
    <n v="8"/>
    <n v="260"/>
  </r>
  <r>
    <d v="2016-04-12T00:00:00"/>
    <x v="2"/>
    <d v="1899-12-30T09:00:00"/>
    <d v="1899-12-30T15:42:00"/>
    <n v="36.5"/>
    <n v="6.7"/>
    <n v="244.55"/>
  </r>
  <r>
    <d v="2016-04-12T00:00:00"/>
    <x v="3"/>
    <d v="1899-12-30T08:00:00"/>
    <d v="1899-12-30T14:42:00"/>
    <n v="19.5"/>
    <n v="6.7000000000000011"/>
    <n v="130.65"/>
  </r>
  <r>
    <d v="2016-04-12T00:00:00"/>
    <x v="4"/>
    <d v="1899-12-30T08:00:00"/>
    <d v="1899-12-30T15:24:00"/>
    <n v="30"/>
    <n v="7.3999999999999986"/>
    <n v="222"/>
  </r>
  <r>
    <d v="2016-04-12T00:00:00"/>
    <x v="5"/>
    <d v="1899-12-30T09:00:00"/>
    <d v="1899-12-30T17:00:00"/>
    <n v="27.75"/>
    <n v="7.9999999999999982"/>
    <n v="222"/>
  </r>
  <r>
    <d v="2016-04-12T00:00:00"/>
    <x v="6"/>
    <d v="1899-12-30T07:30:00"/>
    <d v="1899-12-30T15:18:00"/>
    <n v="24"/>
    <n v="7.7999999999999989"/>
    <n v="187.2"/>
  </r>
  <r>
    <d v="2016-04-13T00:00:00"/>
    <x v="0"/>
    <d v="1899-12-30T08:00:00"/>
    <d v="1899-12-30T15:48:00"/>
    <n v="26.95"/>
    <n v="7.8000000000000007"/>
    <n v="210.21"/>
  </r>
  <r>
    <d v="2016-04-13T00:00:00"/>
    <x v="1"/>
    <d v="1899-12-30T09:00:00"/>
    <d v="1899-12-30T15:42:00"/>
    <n v="32.5"/>
    <n v="6.7"/>
    <n v="217.75"/>
  </r>
  <r>
    <d v="2016-04-13T00:00:00"/>
    <x v="2"/>
    <d v="1899-12-30T09:00:00"/>
    <d v="1899-12-30T16:00:00"/>
    <n v="36.5"/>
    <n v="7.0000000000000018"/>
    <n v="255.5"/>
  </r>
  <r>
    <d v="2016-04-13T00:00:00"/>
    <x v="3"/>
    <d v="1899-12-30T09:00:00"/>
    <d v="1899-12-30T16:06:00"/>
    <n v="19.5"/>
    <n v="7.1000000000000014"/>
    <n v="138.44999999999999"/>
  </r>
  <r>
    <d v="2016-04-13T00:00:00"/>
    <x v="4"/>
    <d v="1899-12-30T09:00:00"/>
    <d v="1899-12-30T15:18:00"/>
    <n v="30"/>
    <n v="6.2999999999999989"/>
    <n v="189"/>
  </r>
  <r>
    <d v="2016-04-13T00:00:00"/>
    <x v="5"/>
    <d v="1899-12-30T09:00:00"/>
    <d v="1899-12-30T15:30:00"/>
    <n v="27.75"/>
    <n v="6.4999999999999982"/>
    <n v="180.38"/>
  </r>
  <r>
    <d v="2016-04-13T00:00:00"/>
    <x v="6"/>
    <d v="1899-12-30T08:00:00"/>
    <d v="1899-12-30T15:12:00"/>
    <n v="24"/>
    <n v="7.1999999999999993"/>
    <n v="172.8"/>
  </r>
  <r>
    <d v="2016-04-14T00:00:00"/>
    <x v="0"/>
    <d v="1899-12-30T07:30:00"/>
    <d v="1899-12-30T13:36:00"/>
    <n v="26.95"/>
    <n v="6.1"/>
    <n v="164.4"/>
  </r>
  <r>
    <d v="2016-04-14T00:00:00"/>
    <x v="1"/>
    <d v="1899-12-30T09:00:00"/>
    <d v="1899-12-30T15:54:00"/>
    <n v="32.5"/>
    <n v="6.8999999999999995"/>
    <n v="224.25"/>
  </r>
  <r>
    <d v="2016-04-14T00:00:00"/>
    <x v="2"/>
    <d v="1899-12-30T08:00:00"/>
    <d v="1899-12-30T14:42:00"/>
    <n v="36.5"/>
    <n v="6.7000000000000011"/>
    <n v="244.55"/>
  </r>
  <r>
    <d v="2016-04-14T00:00:00"/>
    <x v="3"/>
    <d v="1899-12-30T09:00:00"/>
    <d v="1899-12-30T16:54:00"/>
    <n v="19.5"/>
    <n v="7.8999999999999986"/>
    <n v="154.05000000000001"/>
  </r>
  <r>
    <d v="2016-04-14T00:00:00"/>
    <x v="4"/>
    <d v="1899-12-30T09:00:00"/>
    <d v="1899-12-30T16:18:00"/>
    <n v="30"/>
    <n v="7.3000000000000007"/>
    <n v="219"/>
  </r>
  <r>
    <d v="2016-04-14T00:00:00"/>
    <x v="5"/>
    <d v="1899-12-30T09:00:00"/>
    <d v="1899-12-30T15:06:00"/>
    <n v="27.75"/>
    <n v="6.1"/>
    <n v="169.28"/>
  </r>
  <r>
    <d v="2016-04-14T00:00:00"/>
    <x v="6"/>
    <d v="1899-12-30T07:30:00"/>
    <d v="1899-12-30T14:06:00"/>
    <n v="24"/>
    <n v="6.6000000000000005"/>
    <n v="158.4"/>
  </r>
  <r>
    <d v="2016-04-15T00:00:00"/>
    <x v="0"/>
    <d v="1899-12-30T07:30:00"/>
    <d v="1899-12-30T13:48:00"/>
    <n v="26.95"/>
    <n v="6.2999999999999989"/>
    <n v="169.79"/>
  </r>
  <r>
    <d v="2016-04-15T00:00:00"/>
    <x v="1"/>
    <d v="1899-12-30T07:30:00"/>
    <d v="1899-12-30T13:36:00"/>
    <n v="32.5"/>
    <n v="6.1"/>
    <n v="198.25"/>
  </r>
  <r>
    <d v="2016-04-15T00:00:00"/>
    <x v="2"/>
    <d v="1899-12-30T09:00:00"/>
    <d v="1899-12-30T16:36:00"/>
    <n v="36.5"/>
    <n v="7.6"/>
    <n v="277.39999999999998"/>
  </r>
  <r>
    <d v="2016-04-15T00:00:00"/>
    <x v="3"/>
    <d v="1899-12-30T09:00:00"/>
    <d v="1899-12-30T15:12:00"/>
    <n v="19.5"/>
    <n v="6.1999999999999993"/>
    <n v="120.9"/>
  </r>
  <r>
    <d v="2016-04-15T00:00:00"/>
    <x v="4"/>
    <d v="1899-12-30T09:00:00"/>
    <d v="1899-12-30T15:06:00"/>
    <n v="30"/>
    <n v="6.1"/>
    <n v="183"/>
  </r>
  <r>
    <d v="2016-04-15T00:00:00"/>
    <x v="5"/>
    <d v="1899-12-30T09:00:00"/>
    <d v="1899-12-30T16:54:00"/>
    <n v="27.75"/>
    <n v="7.8999999999999986"/>
    <n v="219.23"/>
  </r>
  <r>
    <d v="2016-04-15T00:00:00"/>
    <x v="6"/>
    <d v="1899-12-30T08:00:00"/>
    <d v="1899-12-30T15:42:00"/>
    <n v="24"/>
    <n v="7.7000000000000011"/>
    <n v="184.8"/>
  </r>
  <r>
    <d v="2016-04-18T00:00:00"/>
    <x v="0"/>
    <d v="1899-12-30T09:00:00"/>
    <d v="1899-12-30T16:48:00"/>
    <n v="26.95"/>
    <n v="7.7999999999999989"/>
    <n v="210.21"/>
  </r>
  <r>
    <d v="2016-04-18T00:00:00"/>
    <x v="1"/>
    <d v="1899-12-30T09:00:00"/>
    <d v="1899-12-30T15:48:00"/>
    <n v="32.5"/>
    <n v="6.8"/>
    <n v="221"/>
  </r>
  <r>
    <d v="2016-04-18T00:00:00"/>
    <x v="2"/>
    <d v="1899-12-30T09:00:00"/>
    <d v="1899-12-30T15:54:00"/>
    <n v="36.5"/>
    <n v="6.8999999999999995"/>
    <n v="251.85"/>
  </r>
  <r>
    <d v="2016-04-18T00:00:00"/>
    <x v="3"/>
    <d v="1899-12-30T07:30:00"/>
    <d v="1899-12-30T14:00:00"/>
    <n v="19.5"/>
    <n v="6.4999999999999982"/>
    <n v="126.75"/>
  </r>
  <r>
    <d v="2016-04-18T00:00:00"/>
    <x v="4"/>
    <d v="1899-12-30T07:30:00"/>
    <d v="1899-12-30T14:12:00"/>
    <n v="30"/>
    <n v="6.7"/>
    <n v="201"/>
  </r>
  <r>
    <d v="2016-04-18T00:00:00"/>
    <x v="5"/>
    <d v="1899-12-30T08:00:00"/>
    <d v="1899-12-30T14:00:00"/>
    <n v="27.75"/>
    <n v="5.9999999999999982"/>
    <n v="166.5"/>
  </r>
  <r>
    <d v="2016-04-18T00:00:00"/>
    <x v="6"/>
    <d v="1899-12-30T09:00:00"/>
    <d v="1899-12-30T15:00:00"/>
    <n v="24"/>
    <n v="6"/>
    <n v="144"/>
  </r>
  <r>
    <d v="2016-04-19T00:00:00"/>
    <x v="0"/>
    <d v="1899-12-30T09:00:00"/>
    <d v="1899-12-30T16:30:00"/>
    <n v="26.95"/>
    <n v="7.5"/>
    <n v="202.13"/>
  </r>
  <r>
    <d v="2016-04-19T00:00:00"/>
    <x v="1"/>
    <d v="1899-12-30T08:00:00"/>
    <d v="1899-12-30T15:36:00"/>
    <n v="32.5"/>
    <n v="7.5999999999999979"/>
    <n v="247"/>
  </r>
  <r>
    <d v="2016-04-19T00:00:00"/>
    <x v="2"/>
    <d v="1899-12-30T08:00:00"/>
    <d v="1899-12-30T15:18:00"/>
    <n v="36.5"/>
    <n v="7.3000000000000025"/>
    <n v="266.45"/>
  </r>
  <r>
    <d v="2016-04-19T00:00:00"/>
    <x v="3"/>
    <d v="1899-12-30T09:00:00"/>
    <d v="1899-12-30T15:24:00"/>
    <n v="19.5"/>
    <n v="6.3999999999999986"/>
    <n v="124.8"/>
  </r>
  <r>
    <d v="2016-04-19T00:00:00"/>
    <x v="4"/>
    <d v="1899-12-30T08:00:00"/>
    <d v="1899-12-30T14:24:00"/>
    <n v="30"/>
    <n v="6.4"/>
    <n v="192"/>
  </r>
  <r>
    <d v="2016-04-19T00:00:00"/>
    <x v="5"/>
    <d v="1899-12-30T08:00:00"/>
    <d v="1899-12-30T14:18:00"/>
    <n v="27.75"/>
    <n v="6.3000000000000007"/>
    <n v="174.83"/>
  </r>
  <r>
    <d v="2016-04-19T00:00:00"/>
    <x v="6"/>
    <d v="1899-12-30T09:00:00"/>
    <d v="1899-12-30T15:36:00"/>
    <n v="24"/>
    <n v="6.6000000000000005"/>
    <n v="158.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d v="2016-04-11T00:00:00"/>
    <x v="0"/>
    <d v="1899-12-30T08:00:00"/>
    <d v="1899-12-30T14:30:00"/>
    <n v="175.17499999999998"/>
  </r>
  <r>
    <d v="2016-04-11T00:00:00"/>
    <x v="1"/>
    <d v="1899-12-30T08:00:00"/>
    <d v="1899-12-30T14:48:00"/>
    <n v="221.00000000000003"/>
  </r>
  <r>
    <d v="2016-04-11T00:00:00"/>
    <x v="2"/>
    <d v="1899-12-30T08:00:00"/>
    <d v="1899-12-30T16:00:00"/>
    <n v="292"/>
  </r>
  <r>
    <d v="2016-04-11T00:00:00"/>
    <x v="3"/>
    <d v="1899-12-30T08:00:00"/>
    <d v="1899-12-30T14:36:00"/>
    <n v="128.69999999999999"/>
  </r>
  <r>
    <d v="2016-04-11T00:00:00"/>
    <x v="4"/>
    <d v="1899-12-30T09:00:00"/>
    <d v="1899-12-30T17:00:00"/>
    <n v="240"/>
  </r>
  <r>
    <d v="2016-04-11T00:00:00"/>
    <x v="5"/>
    <d v="1899-12-30T09:00:00"/>
    <d v="1899-12-30T15:24:00"/>
    <n v="177.60000000000002"/>
  </r>
  <r>
    <d v="2016-04-11T00:00:00"/>
    <x v="6"/>
    <d v="1899-12-30T09:00:00"/>
    <d v="1899-12-30T15:12:00"/>
    <n v="148.79999999999998"/>
  </r>
  <r>
    <d v="2016-04-12T00:00:00"/>
    <x v="0"/>
    <d v="1899-12-30T07:30:00"/>
    <d v="1899-12-30T14:54:00"/>
    <n v="199.43"/>
  </r>
  <r>
    <d v="2016-04-12T00:00:00"/>
    <x v="1"/>
    <d v="1899-12-30T08:00:00"/>
    <d v="1899-12-30T16:00:00"/>
    <n v="260"/>
  </r>
  <r>
    <d v="2016-04-12T00:00:00"/>
    <x v="2"/>
    <d v="1899-12-30T09:00:00"/>
    <d v="1899-12-30T15:42:00"/>
    <n v="244.55"/>
  </r>
  <r>
    <d v="2016-04-12T00:00:00"/>
    <x v="3"/>
    <d v="1899-12-30T08:00:00"/>
    <d v="1899-12-30T14:42:00"/>
    <n v="130.65000000000003"/>
  </r>
  <r>
    <d v="2016-04-12T00:00:00"/>
    <x v="4"/>
    <d v="1899-12-30T08:00:00"/>
    <d v="1899-12-30T15:24:00"/>
    <n v="222.00000000000006"/>
  </r>
  <r>
    <d v="2016-04-12T00:00:00"/>
    <x v="5"/>
    <d v="1899-12-30T09:00:00"/>
    <d v="1899-12-30T17:00:00"/>
    <n v="222"/>
  </r>
  <r>
    <d v="2016-04-12T00:00:00"/>
    <x v="6"/>
    <d v="1899-12-30T07:30:00"/>
    <d v="1899-12-30T15:18:00"/>
    <n v="187.2"/>
  </r>
  <r>
    <d v="2016-04-13T00:00:00"/>
    <x v="0"/>
    <d v="1899-12-30T08:00:00"/>
    <d v="1899-12-30T15:48:00"/>
    <n v="210.21"/>
  </r>
  <r>
    <d v="2016-04-13T00:00:00"/>
    <x v="1"/>
    <d v="1899-12-30T09:00:00"/>
    <d v="1899-12-30T15:42:00"/>
    <n v="217.75"/>
  </r>
  <r>
    <d v="2016-04-13T00:00:00"/>
    <x v="2"/>
    <d v="1899-12-30T09:00:00"/>
    <d v="1899-12-30T16:00:00"/>
    <n v="255.49999999999997"/>
  </r>
  <r>
    <d v="2016-04-13T00:00:00"/>
    <x v="3"/>
    <d v="1899-12-30T09:00:00"/>
    <d v="1899-12-30T16:06:00"/>
    <n v="138.44999999999999"/>
  </r>
  <r>
    <d v="2016-04-13T00:00:00"/>
    <x v="4"/>
    <d v="1899-12-30T09:00:00"/>
    <d v="1899-12-30T15:18:00"/>
    <n v="188.99999999999997"/>
  </r>
  <r>
    <d v="2016-04-13T00:00:00"/>
    <x v="5"/>
    <d v="1899-12-30T09:00:00"/>
    <d v="1899-12-30T15:30:00"/>
    <n v="180.37500000000003"/>
  </r>
  <r>
    <d v="2016-04-13T00:00:00"/>
    <x v="6"/>
    <d v="1899-12-30T08:00:00"/>
    <d v="1899-12-30T15:12:00"/>
    <n v="172.79999999999998"/>
  </r>
  <r>
    <d v="2016-04-14T00:00:00"/>
    <x v="0"/>
    <d v="1899-12-30T07:30:00"/>
    <d v="1899-12-30T13:36:00"/>
    <n v="164.39499999999998"/>
  </r>
  <r>
    <d v="2016-04-14T00:00:00"/>
    <x v="1"/>
    <d v="1899-12-30T09:00:00"/>
    <d v="1899-12-30T15:54:00"/>
    <n v="224.24999999999997"/>
  </r>
  <r>
    <d v="2016-04-14T00:00:00"/>
    <x v="2"/>
    <d v="1899-12-30T08:00:00"/>
    <d v="1899-12-30T14:42:00"/>
    <n v="244.55000000000004"/>
  </r>
  <r>
    <d v="2016-04-14T00:00:00"/>
    <x v="3"/>
    <d v="1899-12-30T09:00:00"/>
    <d v="1899-12-30T16:54:00"/>
    <n v="154.05000000000001"/>
  </r>
  <r>
    <d v="2016-04-14T00:00:00"/>
    <x v="4"/>
    <d v="1899-12-30T09:00:00"/>
    <d v="1899-12-30T16:18:00"/>
    <n v="219.00000000000003"/>
  </r>
  <r>
    <d v="2016-04-14T00:00:00"/>
    <x v="5"/>
    <d v="1899-12-30T09:00:00"/>
    <d v="1899-12-30T15:06:00"/>
    <n v="169.27499999999998"/>
  </r>
  <r>
    <d v="2016-04-14T00:00:00"/>
    <x v="6"/>
    <d v="1899-12-30T07:30:00"/>
    <d v="1899-12-30T14:06:00"/>
    <n v="158.4"/>
  </r>
  <r>
    <d v="2016-04-15T00:00:00"/>
    <x v="0"/>
    <d v="1899-12-30T07:30:00"/>
    <d v="1899-12-30T13:48:00"/>
    <n v="169.78499999999997"/>
  </r>
  <r>
    <d v="2016-04-15T00:00:00"/>
    <x v="1"/>
    <d v="1899-12-30T07:30:00"/>
    <d v="1899-12-30T13:36:00"/>
    <n v="198.25"/>
  </r>
  <r>
    <d v="2016-04-15T00:00:00"/>
    <x v="2"/>
    <d v="1899-12-30T09:00:00"/>
    <d v="1899-12-30T16:36:00"/>
    <n v="277.39999999999998"/>
  </r>
  <r>
    <d v="2016-04-15T00:00:00"/>
    <x v="3"/>
    <d v="1899-12-30T09:00:00"/>
    <d v="1899-12-30T15:12:00"/>
    <n v="120.89999999999999"/>
  </r>
  <r>
    <d v="2016-04-15T00:00:00"/>
    <x v="4"/>
    <d v="1899-12-30T09:00:00"/>
    <d v="1899-12-30T15:06:00"/>
    <n v="183"/>
  </r>
  <r>
    <d v="2016-04-15T00:00:00"/>
    <x v="5"/>
    <d v="1899-12-30T09:00:00"/>
    <d v="1899-12-30T16:54:00"/>
    <n v="219.22500000000002"/>
  </r>
  <r>
    <d v="2016-04-15T00:00:00"/>
    <x v="6"/>
    <d v="1899-12-30T08:00:00"/>
    <d v="1899-12-30T15:42:00"/>
    <n v="184.8"/>
  </r>
  <r>
    <d v="2016-04-18T00:00:00"/>
    <x v="0"/>
    <d v="1899-12-30T09:00:00"/>
    <d v="1899-12-30T16:48:00"/>
    <n v="210.20999999999998"/>
  </r>
  <r>
    <d v="2016-04-18T00:00:00"/>
    <x v="1"/>
    <d v="1899-12-30T09:00:00"/>
    <d v="1899-12-30T15:48:00"/>
    <n v="221"/>
  </r>
  <r>
    <d v="2016-04-18T00:00:00"/>
    <x v="2"/>
    <d v="1899-12-30T09:00:00"/>
    <d v="1899-12-30T15:54:00"/>
    <n v="251.85"/>
  </r>
  <r>
    <d v="2016-04-18T00:00:00"/>
    <x v="3"/>
    <d v="1899-12-30T07:30:00"/>
    <d v="1899-12-30T14:00:00"/>
    <n v="126.75000000000001"/>
  </r>
  <r>
    <d v="2016-04-18T00:00:00"/>
    <x v="4"/>
    <d v="1899-12-30T07:30:00"/>
    <d v="1899-12-30T14:12:00"/>
    <n v="201"/>
  </r>
  <r>
    <d v="2016-04-18T00:00:00"/>
    <x v="5"/>
    <d v="1899-12-30T08:00:00"/>
    <d v="1899-12-30T14:00:00"/>
    <n v="166.50000000000006"/>
  </r>
  <r>
    <d v="2016-04-18T00:00:00"/>
    <x v="6"/>
    <d v="1899-12-30T09:00:00"/>
    <d v="1899-12-30T15:00:00"/>
    <n v="144"/>
  </r>
  <r>
    <d v="2016-04-19T00:00:00"/>
    <x v="0"/>
    <d v="1899-12-30T09:00:00"/>
    <d v="1899-12-30T16:30:00"/>
    <n v="202.125"/>
  </r>
  <r>
    <d v="2016-04-19T00:00:00"/>
    <x v="1"/>
    <d v="1899-12-30T08:00:00"/>
    <d v="1899-12-30T15:36:00"/>
    <n v="247.00000000000006"/>
  </r>
  <r>
    <d v="2016-04-19T00:00:00"/>
    <x v="2"/>
    <d v="1899-12-30T08:00:00"/>
    <d v="1899-12-30T15:18:00"/>
    <n v="266.45"/>
  </r>
  <r>
    <d v="2016-04-19T00:00:00"/>
    <x v="3"/>
    <d v="1899-12-30T09:00:00"/>
    <d v="1899-12-30T15:24:00"/>
    <n v="124.80000000000003"/>
  </r>
  <r>
    <d v="2016-04-19T00:00:00"/>
    <x v="4"/>
    <d v="1899-12-30T08:00:00"/>
    <d v="1899-12-30T14:24:00"/>
    <n v="192"/>
  </r>
  <r>
    <d v="2016-04-19T00:00:00"/>
    <x v="5"/>
    <d v="1899-12-30T08:00:00"/>
    <d v="1899-12-30T14:18:00"/>
    <n v="174.82500000000002"/>
  </r>
  <r>
    <d v="2016-04-19T00:00:00"/>
    <x v="6"/>
    <d v="1899-12-30T09:00:00"/>
    <d v="1899-12-30T15:36:00"/>
    <n v="15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DB5245-C906-48ED-855B-69AA2CD01146}"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H9" firstHeaderRow="1" firstDataRow="1" firstDataCol="1"/>
  <pivotFields count="5">
    <pivotField compact="0" numFmtId="22" outline="0" subtotalTop="0" showAll="0"/>
    <pivotField axis="axisRow" compact="0" outline="0" subtotalTop="0" showAll="0">
      <items count="8">
        <item x="3"/>
        <item x="4"/>
        <item x="1"/>
        <item x="2"/>
        <item x="6"/>
        <item x="5"/>
        <item x="0"/>
        <item t="default"/>
      </items>
    </pivotField>
    <pivotField compact="0" numFmtId="168" outline="0" subtotalTop="0" showAll="0"/>
    <pivotField compact="0" numFmtId="168" outline="0" subtotalTop="0" showAll="0"/>
    <pivotField dataField="1" compact="0" outline="0" subtotalTop="0" showAll="0"/>
  </pivotFields>
  <rowFields count="1">
    <field x="1"/>
  </rowFields>
  <rowItems count="8">
    <i>
      <x/>
    </i>
    <i>
      <x v="1"/>
    </i>
    <i>
      <x v="2"/>
    </i>
    <i>
      <x v="3"/>
    </i>
    <i>
      <x v="4"/>
    </i>
    <i>
      <x v="5"/>
    </i>
    <i>
      <x v="6"/>
    </i>
    <i t="grand">
      <x/>
    </i>
  </rowItems>
  <colItems count="1">
    <i/>
  </colItems>
  <dataFields count="1">
    <dataField name="Sum of Gross Pa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K28:L36" firstHeaderRow="1" firstDataRow="1" firstDataCol="1"/>
  <pivotFields count="7">
    <pivotField compact="0" numFmtId="14" outline="0" showAll="0"/>
    <pivotField axis="axisRow" compact="0" outline="0" showAll="0">
      <items count="8">
        <item x="3"/>
        <item x="4"/>
        <item x="1"/>
        <item x="2"/>
        <item x="6"/>
        <item x="5"/>
        <item x="0"/>
        <item t="default"/>
      </items>
    </pivotField>
    <pivotField compact="0" numFmtId="18" outline="0" showAll="0"/>
    <pivotField compact="0" numFmtId="18" outline="0" showAll="0"/>
    <pivotField compact="0" numFmtId="164" outline="0" showAll="0"/>
    <pivotField compact="0" numFmtId="165" outline="0" showAll="0"/>
    <pivotField dataField="1" compact="0" numFmtId="2" outline="0" showAll="0"/>
  </pivotFields>
  <rowFields count="1">
    <field x="1"/>
  </rowFields>
  <rowItems count="8">
    <i>
      <x/>
    </i>
    <i>
      <x v="1"/>
    </i>
    <i>
      <x v="2"/>
    </i>
    <i>
      <x v="3"/>
    </i>
    <i>
      <x v="4"/>
    </i>
    <i>
      <x v="5"/>
    </i>
    <i>
      <x v="6"/>
    </i>
    <i t="grand">
      <x/>
    </i>
  </rowItems>
  <colItems count="1">
    <i/>
  </colItems>
  <dataFields count="1">
    <dataField name="Sum of Gross Pay"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E1C0FA4-60BC-4ED5-AC44-E73D52D8B1BC}" autoFormatId="16" applyNumberFormats="0" applyBorderFormats="0" applyFontFormats="0" applyPatternFormats="0" applyAlignmentFormats="0" applyWidthHeightFormats="0">
  <queryTableRefresh nextId="6" unboundColumnsRight="1">
    <queryTableFields count="5">
      <queryTableField id="1" name="Date Worked" tableColumnId="1"/>
      <queryTableField id="2" name="Employee" tableColumnId="2"/>
      <queryTableField id="3" name="Time In" tableColumnId="3"/>
      <queryTableField id="4" name="Time Out" tableColumnId="4"/>
      <queryTableField id="5" dataBound="0"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32C0AD-AD3A-4A1C-ABA6-E315ECD18ED7}" name="Wage_2" displayName="Wage_2" ref="A1:E50" tableType="queryTable" totalsRowShown="0">
  <autoFilter ref="A1:E50" xr:uid="{39283955-49A9-4898-8058-0251F3AEE230}"/>
  <tableColumns count="5">
    <tableColumn id="1" xr3:uid="{E36CFDE9-6B5C-4C8B-A8B8-0718EBCDFB4D}" uniqueName="1" name="Date Worked" queryTableFieldId="1" dataDxfId="9"/>
    <tableColumn id="2" xr3:uid="{B7C0C4CC-93B0-4B52-AF1A-E5404E493A4B}" uniqueName="2" name="Employee" queryTableFieldId="2" dataDxfId="8"/>
    <tableColumn id="3" xr3:uid="{375CC37A-1000-45F2-BAC6-D66F5CE1A1D9}" uniqueName="3" name="Time In" queryTableFieldId="3" dataDxfId="7"/>
    <tableColumn id="4" xr3:uid="{540C3E1A-33BB-48CD-83F6-7741A6AF37EA}" uniqueName="4" name="Time Out" queryTableFieldId="4" dataDxfId="6"/>
    <tableColumn id="5" xr3:uid="{5E5522D1-FFAC-4073-8408-39034350B9F5}" uniqueName="5" name="Gross Pay" queryTableFieldId="5">
      <calculatedColumnFormula>(Wage_2[[#This Row],[Time Out]]-Wage_2[[#This Row],[Time In]])*24*VLOOKUP(Wage_2[[#This Row],[Employee]],EmployeeName[],2,0)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12D0D3-54CE-4744-9FAC-A963003B0535}" name="Wage" displayName="Wage" ref="A8:E57" totalsRowShown="0" headerRowDxfId="10" tableBorderDxfId="15">
  <autoFilter ref="A8:E57" xr:uid="{E73E3121-5C6E-42E1-AF99-A8E1C0E39306}"/>
  <tableColumns count="5">
    <tableColumn id="1" xr3:uid="{D6B0D2AD-DC9A-46A2-8026-815A11A7FF00}" name="Date Worked" dataDxfId="14"/>
    <tableColumn id="2" xr3:uid="{31AECE57-1A6B-4885-9F30-F3CC966C0243}" name="Employee" dataDxfId="13"/>
    <tableColumn id="3" xr3:uid="{AFB5F9EE-C93A-46C4-B92A-0D1FBF4727EA}" name="Time In" dataDxfId="12"/>
    <tableColumn id="4" xr3:uid="{DC4BB291-D7B8-431E-B8FC-60CD4BBE2848}" name="Time Out" dataDxfId="11"/>
    <tableColumn id="5" xr3:uid="{65F0DB7F-AB2F-4D56-BE4E-6587FC43A856}" name="Gross Pay">
      <calculatedColumnFormula>(D9-C9)*24*VLOOKUP(B9,$K$9:$L$15,2,0)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D55E7C-E081-4E04-A1D2-6E294C101E29}" name="EmployeeName" displayName="EmployeeName" ref="K8:L15" totalsRowShown="0" headerRowDxfId="0" headerRowBorderDxfId="4" tableBorderDxfId="5" totalsRowBorderDxfId="3">
  <autoFilter ref="K8:L15" xr:uid="{36344552-2D8D-41F8-8BE2-7C54FF95F106}"/>
  <tableColumns count="2">
    <tableColumn id="1" xr3:uid="{238656B4-8578-402C-9C52-DC904FB47954}" name="Employee" dataDxfId="2"/>
    <tableColumn id="2" xr3:uid="{92E2243C-3079-4266-8378-44A2200E4030}" name="Hourly Wag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S21"/>
  <sheetViews>
    <sheetView zoomScale="147" zoomScaleNormal="147" workbookViewId="0">
      <selection activeCell="C10" sqref="C10"/>
    </sheetView>
  </sheetViews>
  <sheetFormatPr defaultRowHeight="15" x14ac:dyDescent="0.25"/>
  <cols>
    <col min="1" max="1" width="56.28515625" customWidth="1"/>
    <col min="2" max="2" width="14" customWidth="1"/>
    <col min="3" max="3" width="14.42578125" customWidth="1"/>
    <col min="4" max="4" width="77.42578125" customWidth="1"/>
  </cols>
  <sheetData>
    <row r="1" spans="1:19" ht="30" x14ac:dyDescent="0.25">
      <c r="A1" s="15" t="s">
        <v>7</v>
      </c>
      <c r="B1" s="15" t="s">
        <v>4</v>
      </c>
      <c r="C1" s="15" t="s">
        <v>5</v>
      </c>
      <c r="D1" s="15" t="s">
        <v>6</v>
      </c>
    </row>
    <row r="2" spans="1:19" x14ac:dyDescent="0.25">
      <c r="A2" s="16" t="s">
        <v>21</v>
      </c>
      <c r="B2" s="11">
        <v>5</v>
      </c>
      <c r="C2" s="11">
        <f t="shared" ref="C2:C7" si="0">B2</f>
        <v>5</v>
      </c>
      <c r="D2" s="16" t="str">
        <f>IF(B2&lt;&gt;C2,S2,"")</f>
        <v/>
      </c>
      <c r="S2" s="11" t="s">
        <v>22</v>
      </c>
    </row>
    <row r="3" spans="1:19" ht="60" x14ac:dyDescent="0.25">
      <c r="A3" s="16" t="s">
        <v>46</v>
      </c>
      <c r="B3" s="11">
        <v>7</v>
      </c>
      <c r="C3" s="11">
        <f t="shared" si="0"/>
        <v>7</v>
      </c>
      <c r="D3" s="16" t="str">
        <f t="shared" ref="D3:D8" si="1">IF(B3&lt;&gt;C3,S3,"")</f>
        <v/>
      </c>
      <c r="S3" s="11" t="s">
        <v>24</v>
      </c>
    </row>
    <row r="4" spans="1:19" x14ac:dyDescent="0.25">
      <c r="A4" s="16" t="s">
        <v>26</v>
      </c>
      <c r="B4" s="11">
        <v>5</v>
      </c>
      <c r="C4" s="11">
        <f t="shared" si="0"/>
        <v>5</v>
      </c>
      <c r="D4" s="16" t="str">
        <f t="shared" si="1"/>
        <v/>
      </c>
      <c r="S4" s="11" t="s">
        <v>27</v>
      </c>
    </row>
    <row r="5" spans="1:19" x14ac:dyDescent="0.25">
      <c r="A5" s="16" t="s">
        <v>32</v>
      </c>
      <c r="B5" s="11">
        <v>1</v>
      </c>
      <c r="C5" s="11">
        <f t="shared" si="0"/>
        <v>1</v>
      </c>
      <c r="D5" s="16" t="str">
        <f t="shared" si="1"/>
        <v/>
      </c>
      <c r="S5" t="s">
        <v>33</v>
      </c>
    </row>
    <row r="6" spans="1:19" ht="45" x14ac:dyDescent="0.25">
      <c r="A6" s="16" t="s">
        <v>47</v>
      </c>
      <c r="B6" s="11">
        <v>2</v>
      </c>
      <c r="C6" s="11">
        <f t="shared" si="0"/>
        <v>2</v>
      </c>
      <c r="D6" s="16" t="str">
        <f t="shared" si="1"/>
        <v/>
      </c>
      <c r="S6" t="s">
        <v>48</v>
      </c>
    </row>
    <row r="7" spans="1:19" ht="120" x14ac:dyDescent="0.25">
      <c r="A7" s="16" t="s">
        <v>37</v>
      </c>
      <c r="B7" s="11">
        <v>5</v>
      </c>
      <c r="C7" s="11">
        <f t="shared" si="0"/>
        <v>5</v>
      </c>
      <c r="D7" s="16" t="str">
        <f t="shared" si="1"/>
        <v/>
      </c>
      <c r="S7" s="11" t="s">
        <v>36</v>
      </c>
    </row>
    <row r="8" spans="1:19" x14ac:dyDescent="0.25">
      <c r="A8" s="16" t="s">
        <v>49</v>
      </c>
      <c r="B8" s="11">
        <v>5</v>
      </c>
      <c r="C8" s="11">
        <f>B8</f>
        <v>5</v>
      </c>
      <c r="D8" s="16" t="str">
        <f t="shared" si="1"/>
        <v/>
      </c>
      <c r="S8" s="11" t="s">
        <v>34</v>
      </c>
    </row>
    <row r="9" spans="1:19" x14ac:dyDescent="0.25">
      <c r="C9" s="25" t="str">
        <f>IF(C10="Late",-0.25*SUM(C1:C8),"")</f>
        <v/>
      </c>
      <c r="D9" s="25" t="str">
        <f>IF($C$10="Late","Late","")</f>
        <v/>
      </c>
      <c r="S9" s="11"/>
    </row>
    <row r="10" spans="1:19" x14ac:dyDescent="0.25">
      <c r="A10" s="24" t="s">
        <v>35</v>
      </c>
      <c r="B10" s="13">
        <f>SUM(B2:B8)</f>
        <v>30</v>
      </c>
      <c r="D10" s="25" t="str">
        <f>IF($C$10="Late","In accordance with the syllabus, late points are subtracted from score (25%).","")</f>
        <v/>
      </c>
      <c r="S10" s="11"/>
    </row>
    <row r="11" spans="1:19" x14ac:dyDescent="0.25">
      <c r="C11" s="13">
        <f>SUM(C2:C9)</f>
        <v>30</v>
      </c>
      <c r="S11" s="11"/>
    </row>
    <row r="12" spans="1:19" x14ac:dyDescent="0.25">
      <c r="S12" s="11"/>
    </row>
    <row r="13" spans="1:19" x14ac:dyDescent="0.25">
      <c r="S13" s="11"/>
    </row>
    <row r="14" spans="1:19" x14ac:dyDescent="0.25">
      <c r="S14" s="11"/>
    </row>
    <row r="15" spans="1:19" x14ac:dyDescent="0.25">
      <c r="S15" s="11"/>
    </row>
    <row r="16" spans="1:19" x14ac:dyDescent="0.25">
      <c r="S16" s="11"/>
    </row>
    <row r="17" spans="19:19" x14ac:dyDescent="0.25">
      <c r="S17" s="11"/>
    </row>
    <row r="18" spans="19:19" x14ac:dyDescent="0.25">
      <c r="S18" s="11"/>
    </row>
    <row r="19" spans="19:19" x14ac:dyDescent="0.25">
      <c r="S19" s="11"/>
    </row>
    <row r="20" spans="19:19" x14ac:dyDescent="0.25">
      <c r="S20" s="11"/>
    </row>
    <row r="21" spans="19:19" x14ac:dyDescent="0.25">
      <c r="S21" s="11"/>
    </row>
  </sheetData>
  <conditionalFormatting sqref="A2:D2 D3:D8 C3">
    <cfRule type="expression" dxfId="17" priority="4">
      <formula>$B2&lt;&gt;$C2</formula>
    </cfRule>
  </conditionalFormatting>
  <conditionalFormatting sqref="A3:B3 A4:C8">
    <cfRule type="expression" dxfId="16" priority="3">
      <formula>$B3&lt;&gt;$C3</formula>
    </cfRule>
  </conditionalFormatting>
  <dataValidations count="1">
    <dataValidation type="list" allowBlank="1" showInputMessage="1" showErrorMessage="1" sqref="C10" xr:uid="{00000000-0002-0000-0000-000000000000}">
      <formula1>"Late"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37E6-D0B3-47D8-9D69-19129140D5F9}">
  <dimension ref="A1:H50"/>
  <sheetViews>
    <sheetView tabSelected="1" workbookViewId="0">
      <selection activeCell="G1" sqref="G1"/>
    </sheetView>
  </sheetViews>
  <sheetFormatPr defaultRowHeight="15" x14ac:dyDescent="0.25"/>
  <cols>
    <col min="1" max="1" width="15" bestFit="1" customWidth="1"/>
    <col min="2" max="2" width="16.140625" bestFit="1" customWidth="1"/>
    <col min="3" max="3" width="10.5703125" bestFit="1" customWidth="1"/>
    <col min="4" max="4" width="11.42578125" bestFit="1" customWidth="1"/>
    <col min="7" max="7" width="16.140625" bestFit="1" customWidth="1"/>
    <col min="8" max="8" width="16.28515625" bestFit="1" customWidth="1"/>
  </cols>
  <sheetData>
    <row r="1" spans="1:8" x14ac:dyDescent="0.25">
      <c r="A1" t="s">
        <v>16</v>
      </c>
      <c r="B1" t="s">
        <v>15</v>
      </c>
      <c r="C1" t="s">
        <v>1</v>
      </c>
      <c r="D1" t="s">
        <v>2</v>
      </c>
      <c r="E1" t="s">
        <v>25</v>
      </c>
      <c r="G1" s="26" t="s">
        <v>15</v>
      </c>
      <c r="H1" t="s">
        <v>41</v>
      </c>
    </row>
    <row r="2" spans="1:8" x14ac:dyDescent="0.25">
      <c r="A2" s="31">
        <v>42471</v>
      </c>
      <c r="B2" s="32" t="s">
        <v>8</v>
      </c>
      <c r="C2" s="33">
        <v>0.33333333333333331</v>
      </c>
      <c r="D2" s="33">
        <v>0.60416666666666663</v>
      </c>
      <c r="E2">
        <f>(Wage_2[[#This Row],[Time Out]]-Wage_2[[#This Row],[Time In]])*24*VLOOKUP(Wage_2[[#This Row],[Employee]],EmployeeName[],2,0)</f>
        <v>175.17499999999998</v>
      </c>
      <c r="G2" t="s">
        <v>11</v>
      </c>
      <c r="H2" s="32">
        <v>924.30000000000007</v>
      </c>
    </row>
    <row r="3" spans="1:8" x14ac:dyDescent="0.25">
      <c r="A3" s="31">
        <v>42471</v>
      </c>
      <c r="B3" s="32" t="s">
        <v>9</v>
      </c>
      <c r="C3" s="33">
        <v>0.33333333333333331</v>
      </c>
      <c r="D3" s="33">
        <v>0.6166666666666667</v>
      </c>
      <c r="E3">
        <f>(Wage_2[[#This Row],[Time Out]]-Wage_2[[#This Row],[Time In]])*24*VLOOKUP(Wage_2[[#This Row],[Employee]],EmployeeName[],2,0)</f>
        <v>221.00000000000003</v>
      </c>
      <c r="G3" t="s">
        <v>12</v>
      </c>
      <c r="H3" s="32">
        <v>1446</v>
      </c>
    </row>
    <row r="4" spans="1:8" x14ac:dyDescent="0.25">
      <c r="A4" s="31">
        <v>42471</v>
      </c>
      <c r="B4" s="32" t="s">
        <v>10</v>
      </c>
      <c r="C4" s="33">
        <v>0.33333333333333331</v>
      </c>
      <c r="D4" s="33">
        <v>0.66666666666666663</v>
      </c>
      <c r="E4">
        <f>(Wage_2[[#This Row],[Time Out]]-Wage_2[[#This Row],[Time In]])*24*VLOOKUP(Wage_2[[#This Row],[Employee]],EmployeeName[],2,0)</f>
        <v>292</v>
      </c>
      <c r="G4" t="s">
        <v>9</v>
      </c>
      <c r="H4" s="32">
        <v>1589.25</v>
      </c>
    </row>
    <row r="5" spans="1:8" x14ac:dyDescent="0.25">
      <c r="A5" s="31">
        <v>42471</v>
      </c>
      <c r="B5" s="32" t="s">
        <v>11</v>
      </c>
      <c r="C5" s="33">
        <v>0.33333333333333331</v>
      </c>
      <c r="D5" s="33">
        <v>0.60833333333333328</v>
      </c>
      <c r="E5">
        <f>(Wage_2[[#This Row],[Time Out]]-Wage_2[[#This Row],[Time In]])*24*VLOOKUP(Wage_2[[#This Row],[Employee]],EmployeeName[],2,0)</f>
        <v>128.69999999999999</v>
      </c>
      <c r="G5" t="s">
        <v>10</v>
      </c>
      <c r="H5" s="32">
        <v>1832.3</v>
      </c>
    </row>
    <row r="6" spans="1:8" x14ac:dyDescent="0.25">
      <c r="A6" s="31">
        <v>42471</v>
      </c>
      <c r="B6" s="32" t="s">
        <v>12</v>
      </c>
      <c r="C6" s="33">
        <v>0.375</v>
      </c>
      <c r="D6" s="33">
        <v>0.70833333333333337</v>
      </c>
      <c r="E6">
        <f>(Wage_2[[#This Row],[Time Out]]-Wage_2[[#This Row],[Time In]])*24*VLOOKUP(Wage_2[[#This Row],[Employee]],EmployeeName[],2,0)</f>
        <v>240</v>
      </c>
      <c r="G6" t="s">
        <v>14</v>
      </c>
      <c r="H6" s="32">
        <v>1154.4000000000001</v>
      </c>
    </row>
    <row r="7" spans="1:8" x14ac:dyDescent="0.25">
      <c r="A7" s="31">
        <v>42471</v>
      </c>
      <c r="B7" s="32" t="s">
        <v>13</v>
      </c>
      <c r="C7" s="33">
        <v>0.375</v>
      </c>
      <c r="D7" s="33">
        <v>0.64166666666666672</v>
      </c>
      <c r="E7">
        <f>(Wage_2[[#This Row],[Time Out]]-Wage_2[[#This Row],[Time In]])*24*VLOOKUP(Wage_2[[#This Row],[Employee]],EmployeeName[],2,0)</f>
        <v>177.60000000000002</v>
      </c>
      <c r="G7" t="s">
        <v>13</v>
      </c>
      <c r="H7" s="32">
        <v>1309.8000000000002</v>
      </c>
    </row>
    <row r="8" spans="1:8" x14ac:dyDescent="0.25">
      <c r="A8" s="31">
        <v>42471</v>
      </c>
      <c r="B8" s="32" t="s">
        <v>14</v>
      </c>
      <c r="C8" s="33">
        <v>0.375</v>
      </c>
      <c r="D8" s="33">
        <v>0.6333333333333333</v>
      </c>
      <c r="E8">
        <f>(Wage_2[[#This Row],[Time Out]]-Wage_2[[#This Row],[Time In]])*24*VLOOKUP(Wage_2[[#This Row],[Employee]],EmployeeName[],2,0)</f>
        <v>148.79999999999998</v>
      </c>
      <c r="G8" t="s">
        <v>8</v>
      </c>
      <c r="H8" s="32">
        <v>1331.33</v>
      </c>
    </row>
    <row r="9" spans="1:8" x14ac:dyDescent="0.25">
      <c r="A9" s="31">
        <v>42472</v>
      </c>
      <c r="B9" s="32" t="s">
        <v>8</v>
      </c>
      <c r="C9" s="33">
        <v>0.3125</v>
      </c>
      <c r="D9" s="33">
        <v>0.62083333333333335</v>
      </c>
      <c r="E9">
        <f>(Wage_2[[#This Row],[Time Out]]-Wage_2[[#This Row],[Time In]])*24*VLOOKUP(Wage_2[[#This Row],[Employee]],EmployeeName[],2,0)</f>
        <v>199.43</v>
      </c>
      <c r="G9" t="s">
        <v>40</v>
      </c>
      <c r="H9" s="32">
        <v>9587.3799999999992</v>
      </c>
    </row>
    <row r="10" spans="1:8" x14ac:dyDescent="0.25">
      <c r="A10" s="31">
        <v>42472</v>
      </c>
      <c r="B10" s="32" t="s">
        <v>9</v>
      </c>
      <c r="C10" s="33">
        <v>0.33333333333333331</v>
      </c>
      <c r="D10" s="33">
        <v>0.66666666666666663</v>
      </c>
      <c r="E10">
        <f>(Wage_2[[#This Row],[Time Out]]-Wage_2[[#This Row],[Time In]])*24*VLOOKUP(Wage_2[[#This Row],[Employee]],EmployeeName[],2,0)</f>
        <v>260</v>
      </c>
    </row>
    <row r="11" spans="1:8" x14ac:dyDescent="0.25">
      <c r="A11" s="31">
        <v>42472</v>
      </c>
      <c r="B11" s="32" t="s">
        <v>10</v>
      </c>
      <c r="C11" s="33">
        <v>0.375</v>
      </c>
      <c r="D11" s="33">
        <v>0.65416666666666667</v>
      </c>
      <c r="E11">
        <f>(Wage_2[[#This Row],[Time Out]]-Wage_2[[#This Row],[Time In]])*24*VLOOKUP(Wage_2[[#This Row],[Employee]],EmployeeName[],2,0)</f>
        <v>244.55</v>
      </c>
    </row>
    <row r="12" spans="1:8" x14ac:dyDescent="0.25">
      <c r="A12" s="31">
        <v>42472</v>
      </c>
      <c r="B12" s="32" t="s">
        <v>11</v>
      </c>
      <c r="C12" s="33">
        <v>0.33333333333333331</v>
      </c>
      <c r="D12" s="33">
        <v>0.61250000000000004</v>
      </c>
      <c r="E12">
        <f>(Wage_2[[#This Row],[Time Out]]-Wage_2[[#This Row],[Time In]])*24*VLOOKUP(Wage_2[[#This Row],[Employee]],EmployeeName[],2,0)</f>
        <v>130.65000000000003</v>
      </c>
    </row>
    <row r="13" spans="1:8" x14ac:dyDescent="0.25">
      <c r="A13" s="31">
        <v>42472</v>
      </c>
      <c r="B13" s="32" t="s">
        <v>12</v>
      </c>
      <c r="C13" s="33">
        <v>0.33333333333333331</v>
      </c>
      <c r="D13" s="33">
        <v>0.64166666666666672</v>
      </c>
      <c r="E13">
        <f>(Wage_2[[#This Row],[Time Out]]-Wage_2[[#This Row],[Time In]])*24*VLOOKUP(Wage_2[[#This Row],[Employee]],EmployeeName[],2,0)</f>
        <v>222.00000000000006</v>
      </c>
    </row>
    <row r="14" spans="1:8" x14ac:dyDescent="0.25">
      <c r="A14" s="31">
        <v>42472</v>
      </c>
      <c r="B14" s="32" t="s">
        <v>13</v>
      </c>
      <c r="C14" s="33">
        <v>0.375</v>
      </c>
      <c r="D14" s="33">
        <v>0.70833333333333337</v>
      </c>
      <c r="E14">
        <f>(Wage_2[[#This Row],[Time Out]]-Wage_2[[#This Row],[Time In]])*24*VLOOKUP(Wage_2[[#This Row],[Employee]],EmployeeName[],2,0)</f>
        <v>222</v>
      </c>
    </row>
    <row r="15" spans="1:8" x14ac:dyDescent="0.25">
      <c r="A15" s="31">
        <v>42472</v>
      </c>
      <c r="B15" s="32" t="s">
        <v>14</v>
      </c>
      <c r="C15" s="33">
        <v>0.3125</v>
      </c>
      <c r="D15" s="33">
        <v>0.63749999999999996</v>
      </c>
      <c r="E15">
        <f>(Wage_2[[#This Row],[Time Out]]-Wage_2[[#This Row],[Time In]])*24*VLOOKUP(Wage_2[[#This Row],[Employee]],EmployeeName[],2,0)</f>
        <v>187.2</v>
      </c>
    </row>
    <row r="16" spans="1:8" x14ac:dyDescent="0.25">
      <c r="A16" s="31">
        <v>42473</v>
      </c>
      <c r="B16" s="32" t="s">
        <v>8</v>
      </c>
      <c r="C16" s="33">
        <v>0.33333333333333331</v>
      </c>
      <c r="D16" s="33">
        <v>0.65833333333333333</v>
      </c>
      <c r="E16">
        <f>(Wage_2[[#This Row],[Time Out]]-Wage_2[[#This Row],[Time In]])*24*VLOOKUP(Wage_2[[#This Row],[Employee]],EmployeeName[],2,0)</f>
        <v>210.21</v>
      </c>
    </row>
    <row r="17" spans="1:5" x14ac:dyDescent="0.25">
      <c r="A17" s="31">
        <v>42473</v>
      </c>
      <c r="B17" s="32" t="s">
        <v>9</v>
      </c>
      <c r="C17" s="33">
        <v>0.375</v>
      </c>
      <c r="D17" s="33">
        <v>0.65416666666666667</v>
      </c>
      <c r="E17">
        <f>(Wage_2[[#This Row],[Time Out]]-Wage_2[[#This Row],[Time In]])*24*VLOOKUP(Wage_2[[#This Row],[Employee]],EmployeeName[],2,0)</f>
        <v>217.75</v>
      </c>
    </row>
    <row r="18" spans="1:5" x14ac:dyDescent="0.25">
      <c r="A18" s="31">
        <v>42473</v>
      </c>
      <c r="B18" s="32" t="s">
        <v>10</v>
      </c>
      <c r="C18" s="33">
        <v>0.375</v>
      </c>
      <c r="D18" s="33">
        <v>0.66666666666666663</v>
      </c>
      <c r="E18">
        <f>(Wage_2[[#This Row],[Time Out]]-Wage_2[[#This Row],[Time In]])*24*VLOOKUP(Wage_2[[#This Row],[Employee]],EmployeeName[],2,0)</f>
        <v>255.49999999999997</v>
      </c>
    </row>
    <row r="19" spans="1:5" x14ac:dyDescent="0.25">
      <c r="A19" s="31">
        <v>42473</v>
      </c>
      <c r="B19" s="32" t="s">
        <v>11</v>
      </c>
      <c r="C19" s="33">
        <v>0.375</v>
      </c>
      <c r="D19" s="33">
        <v>0.67083333333333328</v>
      </c>
      <c r="E19">
        <f>(Wage_2[[#This Row],[Time Out]]-Wage_2[[#This Row],[Time In]])*24*VLOOKUP(Wage_2[[#This Row],[Employee]],EmployeeName[],2,0)</f>
        <v>138.44999999999999</v>
      </c>
    </row>
    <row r="20" spans="1:5" x14ac:dyDescent="0.25">
      <c r="A20" s="31">
        <v>42473</v>
      </c>
      <c r="B20" s="32" t="s">
        <v>12</v>
      </c>
      <c r="C20" s="33">
        <v>0.375</v>
      </c>
      <c r="D20" s="33">
        <v>0.63749999999999996</v>
      </c>
      <c r="E20">
        <f>(Wage_2[[#This Row],[Time Out]]-Wage_2[[#This Row],[Time In]])*24*VLOOKUP(Wage_2[[#This Row],[Employee]],EmployeeName[],2,0)</f>
        <v>188.99999999999997</v>
      </c>
    </row>
    <row r="21" spans="1:5" x14ac:dyDescent="0.25">
      <c r="A21" s="31">
        <v>42473</v>
      </c>
      <c r="B21" s="32" t="s">
        <v>13</v>
      </c>
      <c r="C21" s="33">
        <v>0.375</v>
      </c>
      <c r="D21" s="33">
        <v>0.64583333333333337</v>
      </c>
      <c r="E21">
        <f>(Wage_2[[#This Row],[Time Out]]-Wage_2[[#This Row],[Time In]])*24*VLOOKUP(Wage_2[[#This Row],[Employee]],EmployeeName[],2,0)</f>
        <v>180.37500000000003</v>
      </c>
    </row>
    <row r="22" spans="1:5" x14ac:dyDescent="0.25">
      <c r="A22" s="31">
        <v>42473</v>
      </c>
      <c r="B22" s="32" t="s">
        <v>14</v>
      </c>
      <c r="C22" s="33">
        <v>0.33333333333333331</v>
      </c>
      <c r="D22" s="33">
        <v>0.6333333333333333</v>
      </c>
      <c r="E22">
        <f>(Wage_2[[#This Row],[Time Out]]-Wage_2[[#This Row],[Time In]])*24*VLOOKUP(Wage_2[[#This Row],[Employee]],EmployeeName[],2,0)</f>
        <v>172.79999999999998</v>
      </c>
    </row>
    <row r="23" spans="1:5" x14ac:dyDescent="0.25">
      <c r="A23" s="31">
        <v>42474</v>
      </c>
      <c r="B23" s="32" t="s">
        <v>8</v>
      </c>
      <c r="C23" s="33">
        <v>0.3125</v>
      </c>
      <c r="D23" s="33">
        <v>0.56666666666666665</v>
      </c>
      <c r="E23">
        <f>(Wage_2[[#This Row],[Time Out]]-Wage_2[[#This Row],[Time In]])*24*VLOOKUP(Wage_2[[#This Row],[Employee]],EmployeeName[],2,0)</f>
        <v>164.39499999999998</v>
      </c>
    </row>
    <row r="24" spans="1:5" x14ac:dyDescent="0.25">
      <c r="A24" s="31">
        <v>42474</v>
      </c>
      <c r="B24" s="32" t="s">
        <v>9</v>
      </c>
      <c r="C24" s="33">
        <v>0.375</v>
      </c>
      <c r="D24" s="33">
        <v>0.66249999999999998</v>
      </c>
      <c r="E24">
        <f>(Wage_2[[#This Row],[Time Out]]-Wage_2[[#This Row],[Time In]])*24*VLOOKUP(Wage_2[[#This Row],[Employee]],EmployeeName[],2,0)</f>
        <v>224.24999999999997</v>
      </c>
    </row>
    <row r="25" spans="1:5" x14ac:dyDescent="0.25">
      <c r="A25" s="31">
        <v>42474</v>
      </c>
      <c r="B25" s="32" t="s">
        <v>10</v>
      </c>
      <c r="C25" s="33">
        <v>0.33333333333333331</v>
      </c>
      <c r="D25" s="33">
        <v>0.61250000000000004</v>
      </c>
      <c r="E25">
        <f>(Wage_2[[#This Row],[Time Out]]-Wage_2[[#This Row],[Time In]])*24*VLOOKUP(Wage_2[[#This Row],[Employee]],EmployeeName[],2,0)</f>
        <v>244.55000000000004</v>
      </c>
    </row>
    <row r="26" spans="1:5" x14ac:dyDescent="0.25">
      <c r="A26" s="31">
        <v>42474</v>
      </c>
      <c r="B26" s="32" t="s">
        <v>11</v>
      </c>
      <c r="C26" s="33">
        <v>0.375</v>
      </c>
      <c r="D26" s="33">
        <v>0.70416666666666672</v>
      </c>
      <c r="E26">
        <f>(Wage_2[[#This Row],[Time Out]]-Wage_2[[#This Row],[Time In]])*24*VLOOKUP(Wage_2[[#This Row],[Employee]],EmployeeName[],2,0)</f>
        <v>154.05000000000001</v>
      </c>
    </row>
    <row r="27" spans="1:5" x14ac:dyDescent="0.25">
      <c r="A27" s="31">
        <v>42474</v>
      </c>
      <c r="B27" s="32" t="s">
        <v>12</v>
      </c>
      <c r="C27" s="33">
        <v>0.375</v>
      </c>
      <c r="D27" s="33">
        <v>0.6791666666666667</v>
      </c>
      <c r="E27">
        <f>(Wage_2[[#This Row],[Time Out]]-Wage_2[[#This Row],[Time In]])*24*VLOOKUP(Wage_2[[#This Row],[Employee]],EmployeeName[],2,0)</f>
        <v>219.00000000000003</v>
      </c>
    </row>
    <row r="28" spans="1:5" x14ac:dyDescent="0.25">
      <c r="A28" s="31">
        <v>42474</v>
      </c>
      <c r="B28" s="32" t="s">
        <v>13</v>
      </c>
      <c r="C28" s="33">
        <v>0.375</v>
      </c>
      <c r="D28" s="33">
        <v>0.62916666666666665</v>
      </c>
      <c r="E28">
        <f>(Wage_2[[#This Row],[Time Out]]-Wage_2[[#This Row],[Time In]])*24*VLOOKUP(Wage_2[[#This Row],[Employee]],EmployeeName[],2,0)</f>
        <v>169.27499999999998</v>
      </c>
    </row>
    <row r="29" spans="1:5" x14ac:dyDescent="0.25">
      <c r="A29" s="31">
        <v>42474</v>
      </c>
      <c r="B29" s="32" t="s">
        <v>14</v>
      </c>
      <c r="C29" s="33">
        <v>0.3125</v>
      </c>
      <c r="D29" s="33">
        <v>0.58750000000000002</v>
      </c>
      <c r="E29">
        <f>(Wage_2[[#This Row],[Time Out]]-Wage_2[[#This Row],[Time In]])*24*VLOOKUP(Wage_2[[#This Row],[Employee]],EmployeeName[],2,0)</f>
        <v>158.4</v>
      </c>
    </row>
    <row r="30" spans="1:5" x14ac:dyDescent="0.25">
      <c r="A30" s="31">
        <v>42475</v>
      </c>
      <c r="B30" s="32" t="s">
        <v>8</v>
      </c>
      <c r="C30" s="33">
        <v>0.3125</v>
      </c>
      <c r="D30" s="33">
        <v>0.57499999999999996</v>
      </c>
      <c r="E30">
        <f>(Wage_2[[#This Row],[Time Out]]-Wage_2[[#This Row],[Time In]])*24*VLOOKUP(Wage_2[[#This Row],[Employee]],EmployeeName[],2,0)</f>
        <v>169.78499999999997</v>
      </c>
    </row>
    <row r="31" spans="1:5" x14ac:dyDescent="0.25">
      <c r="A31" s="31">
        <v>42475</v>
      </c>
      <c r="B31" s="32" t="s">
        <v>9</v>
      </c>
      <c r="C31" s="33">
        <v>0.3125</v>
      </c>
      <c r="D31" s="33">
        <v>0.56666666666666665</v>
      </c>
      <c r="E31">
        <f>(Wage_2[[#This Row],[Time Out]]-Wage_2[[#This Row],[Time In]])*24*VLOOKUP(Wage_2[[#This Row],[Employee]],EmployeeName[],2,0)</f>
        <v>198.25</v>
      </c>
    </row>
    <row r="32" spans="1:5" x14ac:dyDescent="0.25">
      <c r="A32" s="31">
        <v>42475</v>
      </c>
      <c r="B32" s="32" t="s">
        <v>10</v>
      </c>
      <c r="C32" s="33">
        <v>0.375</v>
      </c>
      <c r="D32" s="33">
        <v>0.69166666666666665</v>
      </c>
      <c r="E32">
        <f>(Wage_2[[#This Row],[Time Out]]-Wage_2[[#This Row],[Time In]])*24*VLOOKUP(Wage_2[[#This Row],[Employee]],EmployeeName[],2,0)</f>
        <v>277.39999999999998</v>
      </c>
    </row>
    <row r="33" spans="1:5" x14ac:dyDescent="0.25">
      <c r="A33" s="31">
        <v>42475</v>
      </c>
      <c r="B33" s="32" t="s">
        <v>11</v>
      </c>
      <c r="C33" s="33">
        <v>0.375</v>
      </c>
      <c r="D33" s="33">
        <v>0.6333333333333333</v>
      </c>
      <c r="E33">
        <f>(Wage_2[[#This Row],[Time Out]]-Wage_2[[#This Row],[Time In]])*24*VLOOKUP(Wage_2[[#This Row],[Employee]],EmployeeName[],2,0)</f>
        <v>120.89999999999999</v>
      </c>
    </row>
    <row r="34" spans="1:5" x14ac:dyDescent="0.25">
      <c r="A34" s="31">
        <v>42475</v>
      </c>
      <c r="B34" s="32" t="s">
        <v>12</v>
      </c>
      <c r="C34" s="33">
        <v>0.375</v>
      </c>
      <c r="D34" s="33">
        <v>0.62916666666666665</v>
      </c>
      <c r="E34">
        <f>(Wage_2[[#This Row],[Time Out]]-Wage_2[[#This Row],[Time In]])*24*VLOOKUP(Wage_2[[#This Row],[Employee]],EmployeeName[],2,0)</f>
        <v>183</v>
      </c>
    </row>
    <row r="35" spans="1:5" x14ac:dyDescent="0.25">
      <c r="A35" s="31">
        <v>42475</v>
      </c>
      <c r="B35" s="32" t="s">
        <v>13</v>
      </c>
      <c r="C35" s="33">
        <v>0.375</v>
      </c>
      <c r="D35" s="33">
        <v>0.70416666666666672</v>
      </c>
      <c r="E35">
        <f>(Wage_2[[#This Row],[Time Out]]-Wage_2[[#This Row],[Time In]])*24*VLOOKUP(Wage_2[[#This Row],[Employee]],EmployeeName[],2,0)</f>
        <v>219.22500000000002</v>
      </c>
    </row>
    <row r="36" spans="1:5" x14ac:dyDescent="0.25">
      <c r="A36" s="31">
        <v>42475</v>
      </c>
      <c r="B36" s="32" t="s">
        <v>14</v>
      </c>
      <c r="C36" s="33">
        <v>0.33333333333333331</v>
      </c>
      <c r="D36" s="33">
        <v>0.65416666666666667</v>
      </c>
      <c r="E36">
        <f>(Wage_2[[#This Row],[Time Out]]-Wage_2[[#This Row],[Time In]])*24*VLOOKUP(Wage_2[[#This Row],[Employee]],EmployeeName[],2,0)</f>
        <v>184.8</v>
      </c>
    </row>
    <row r="37" spans="1:5" x14ac:dyDescent="0.25">
      <c r="A37" s="31">
        <v>42478</v>
      </c>
      <c r="B37" s="32" t="s">
        <v>8</v>
      </c>
      <c r="C37" s="33">
        <v>0.375</v>
      </c>
      <c r="D37" s="33">
        <v>0.7</v>
      </c>
      <c r="E37">
        <f>(Wage_2[[#This Row],[Time Out]]-Wage_2[[#This Row],[Time In]])*24*VLOOKUP(Wage_2[[#This Row],[Employee]],EmployeeName[],2,0)</f>
        <v>210.20999999999998</v>
      </c>
    </row>
    <row r="38" spans="1:5" x14ac:dyDescent="0.25">
      <c r="A38" s="31">
        <v>42478</v>
      </c>
      <c r="B38" s="32" t="s">
        <v>9</v>
      </c>
      <c r="C38" s="33">
        <v>0.375</v>
      </c>
      <c r="D38" s="33">
        <v>0.65833333333333333</v>
      </c>
      <c r="E38">
        <f>(Wage_2[[#This Row],[Time Out]]-Wage_2[[#This Row],[Time In]])*24*VLOOKUP(Wage_2[[#This Row],[Employee]],EmployeeName[],2,0)</f>
        <v>221</v>
      </c>
    </row>
    <row r="39" spans="1:5" x14ac:dyDescent="0.25">
      <c r="A39" s="31">
        <v>42478</v>
      </c>
      <c r="B39" s="32" t="s">
        <v>10</v>
      </c>
      <c r="C39" s="33">
        <v>0.375</v>
      </c>
      <c r="D39" s="33">
        <v>0.66249999999999998</v>
      </c>
      <c r="E39">
        <f>(Wage_2[[#This Row],[Time Out]]-Wage_2[[#This Row],[Time In]])*24*VLOOKUP(Wage_2[[#This Row],[Employee]],EmployeeName[],2,0)</f>
        <v>251.85</v>
      </c>
    </row>
    <row r="40" spans="1:5" x14ac:dyDescent="0.25">
      <c r="A40" s="31">
        <v>42478</v>
      </c>
      <c r="B40" s="32" t="s">
        <v>11</v>
      </c>
      <c r="C40" s="33">
        <v>0.3125</v>
      </c>
      <c r="D40" s="33">
        <v>0.58333333333333337</v>
      </c>
      <c r="E40">
        <f>(Wage_2[[#This Row],[Time Out]]-Wage_2[[#This Row],[Time In]])*24*VLOOKUP(Wage_2[[#This Row],[Employee]],EmployeeName[],2,0)</f>
        <v>126.75000000000001</v>
      </c>
    </row>
    <row r="41" spans="1:5" x14ac:dyDescent="0.25">
      <c r="A41" s="31">
        <v>42478</v>
      </c>
      <c r="B41" s="32" t="s">
        <v>12</v>
      </c>
      <c r="C41" s="33">
        <v>0.3125</v>
      </c>
      <c r="D41" s="33">
        <v>0.59166666666666667</v>
      </c>
      <c r="E41">
        <f>(Wage_2[[#This Row],[Time Out]]-Wage_2[[#This Row],[Time In]])*24*VLOOKUP(Wage_2[[#This Row],[Employee]],EmployeeName[],2,0)</f>
        <v>201</v>
      </c>
    </row>
    <row r="42" spans="1:5" x14ac:dyDescent="0.25">
      <c r="A42" s="31">
        <v>42478</v>
      </c>
      <c r="B42" s="32" t="s">
        <v>13</v>
      </c>
      <c r="C42" s="33">
        <v>0.33333333333333331</v>
      </c>
      <c r="D42" s="33">
        <v>0.58333333333333337</v>
      </c>
      <c r="E42">
        <f>(Wage_2[[#This Row],[Time Out]]-Wage_2[[#This Row],[Time In]])*24*VLOOKUP(Wage_2[[#This Row],[Employee]],EmployeeName[],2,0)</f>
        <v>166.50000000000006</v>
      </c>
    </row>
    <row r="43" spans="1:5" x14ac:dyDescent="0.25">
      <c r="A43" s="31">
        <v>42478</v>
      </c>
      <c r="B43" s="32" t="s">
        <v>14</v>
      </c>
      <c r="C43" s="33">
        <v>0.375</v>
      </c>
      <c r="D43" s="33">
        <v>0.625</v>
      </c>
      <c r="E43">
        <f>(Wage_2[[#This Row],[Time Out]]-Wage_2[[#This Row],[Time In]])*24*VLOOKUP(Wage_2[[#This Row],[Employee]],EmployeeName[],2,0)</f>
        <v>144</v>
      </c>
    </row>
    <row r="44" spans="1:5" x14ac:dyDescent="0.25">
      <c r="A44" s="31">
        <v>42479</v>
      </c>
      <c r="B44" s="32" t="s">
        <v>8</v>
      </c>
      <c r="C44" s="33">
        <v>0.375</v>
      </c>
      <c r="D44" s="33">
        <v>0.6875</v>
      </c>
      <c r="E44">
        <f>(Wage_2[[#This Row],[Time Out]]-Wage_2[[#This Row],[Time In]])*24*VLOOKUP(Wage_2[[#This Row],[Employee]],EmployeeName[],2,0)</f>
        <v>202.125</v>
      </c>
    </row>
    <row r="45" spans="1:5" x14ac:dyDescent="0.25">
      <c r="A45" s="31">
        <v>42479</v>
      </c>
      <c r="B45" s="32" t="s">
        <v>9</v>
      </c>
      <c r="C45" s="33">
        <v>0.33333333333333331</v>
      </c>
      <c r="D45" s="33">
        <v>0.65</v>
      </c>
      <c r="E45">
        <f>(Wage_2[[#This Row],[Time Out]]-Wage_2[[#This Row],[Time In]])*24*VLOOKUP(Wage_2[[#This Row],[Employee]],EmployeeName[],2,0)</f>
        <v>247.00000000000006</v>
      </c>
    </row>
    <row r="46" spans="1:5" x14ac:dyDescent="0.25">
      <c r="A46" s="31">
        <v>42479</v>
      </c>
      <c r="B46" s="32" t="s">
        <v>10</v>
      </c>
      <c r="C46" s="33">
        <v>0.33333333333333331</v>
      </c>
      <c r="D46" s="33">
        <v>0.63749999999999996</v>
      </c>
      <c r="E46">
        <f>(Wage_2[[#This Row],[Time Out]]-Wage_2[[#This Row],[Time In]])*24*VLOOKUP(Wage_2[[#This Row],[Employee]],EmployeeName[],2,0)</f>
        <v>266.45</v>
      </c>
    </row>
    <row r="47" spans="1:5" x14ac:dyDescent="0.25">
      <c r="A47" s="31">
        <v>42479</v>
      </c>
      <c r="B47" s="32" t="s">
        <v>11</v>
      </c>
      <c r="C47" s="33">
        <v>0.375</v>
      </c>
      <c r="D47" s="33">
        <v>0.64166666666666672</v>
      </c>
      <c r="E47">
        <f>(Wage_2[[#This Row],[Time Out]]-Wage_2[[#This Row],[Time In]])*24*VLOOKUP(Wage_2[[#This Row],[Employee]],EmployeeName[],2,0)</f>
        <v>124.80000000000003</v>
      </c>
    </row>
    <row r="48" spans="1:5" x14ac:dyDescent="0.25">
      <c r="A48" s="31">
        <v>42479</v>
      </c>
      <c r="B48" s="32" t="s">
        <v>12</v>
      </c>
      <c r="C48" s="33">
        <v>0.33333333333333331</v>
      </c>
      <c r="D48" s="33">
        <v>0.6</v>
      </c>
      <c r="E48">
        <f>(Wage_2[[#This Row],[Time Out]]-Wage_2[[#This Row],[Time In]])*24*VLOOKUP(Wage_2[[#This Row],[Employee]],EmployeeName[],2,0)</f>
        <v>192</v>
      </c>
    </row>
    <row r="49" spans="1:5" x14ac:dyDescent="0.25">
      <c r="A49" s="31">
        <v>42479</v>
      </c>
      <c r="B49" s="32" t="s">
        <v>13</v>
      </c>
      <c r="C49" s="33">
        <v>0.33333333333333331</v>
      </c>
      <c r="D49" s="33">
        <v>0.59583333333333333</v>
      </c>
      <c r="E49">
        <f>(Wage_2[[#This Row],[Time Out]]-Wage_2[[#This Row],[Time In]])*24*VLOOKUP(Wage_2[[#This Row],[Employee]],EmployeeName[],2,0)</f>
        <v>174.82500000000002</v>
      </c>
    </row>
    <row r="50" spans="1:5" x14ac:dyDescent="0.25">
      <c r="A50" s="31">
        <v>42479</v>
      </c>
      <c r="B50" s="32" t="s">
        <v>14</v>
      </c>
      <c r="C50" s="33">
        <v>0.375</v>
      </c>
      <c r="D50" s="33">
        <v>0.65</v>
      </c>
      <c r="E50">
        <f>(Wage_2[[#This Row],[Time Out]]-Wage_2[[#This Row],[Time In]])*24*VLOOKUP(Wage_2[[#This Row],[Employee]],EmployeeName[],2,0)</f>
        <v>158.4</v>
      </c>
    </row>
  </sheetData>
  <pageMargins left="0.7" right="0.7" top="0.75" bottom="0.75" header="0.3" footer="0.3"/>
  <ignoredErrors>
    <ignoredError sqref="E2"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00FF"/>
  </sheetPr>
  <dimension ref="A1:L57"/>
  <sheetViews>
    <sheetView zoomScaleNormal="100" workbookViewId="0">
      <selection activeCell="G18" sqref="G18"/>
    </sheetView>
  </sheetViews>
  <sheetFormatPr defaultRowHeight="15" x14ac:dyDescent="0.25"/>
  <cols>
    <col min="1" max="1" width="16.28515625" customWidth="1"/>
    <col min="2" max="2" width="18.28515625" customWidth="1"/>
    <col min="3" max="3" width="10.42578125" customWidth="1"/>
    <col min="4" max="4" width="11.28515625" customWidth="1"/>
    <col min="5" max="5" width="11.7109375" customWidth="1"/>
    <col min="6" max="6" width="13.7109375" bestFit="1" customWidth="1"/>
    <col min="7" max="7" width="14.42578125" bestFit="1" customWidth="1"/>
    <col min="8" max="8" width="11.42578125" customWidth="1"/>
    <col min="11" max="11" width="16.140625" bestFit="1" customWidth="1"/>
    <col min="12" max="12" width="14.5703125" customWidth="1"/>
    <col min="13" max="13" width="13.7109375" bestFit="1" customWidth="1"/>
  </cols>
  <sheetData>
    <row r="1" spans="1:12" x14ac:dyDescent="0.25">
      <c r="A1" s="1" t="s">
        <v>20</v>
      </c>
      <c r="B1" s="2"/>
      <c r="C1" s="2"/>
      <c r="D1" s="2"/>
      <c r="E1" s="2"/>
      <c r="F1" s="2"/>
      <c r="G1" s="2"/>
      <c r="H1" s="2"/>
      <c r="I1" s="2"/>
      <c r="J1" s="2"/>
      <c r="K1" s="2"/>
      <c r="L1" s="3"/>
    </row>
    <row r="2" spans="1:12" x14ac:dyDescent="0.25">
      <c r="A2" s="4" t="s">
        <v>42</v>
      </c>
      <c r="B2" s="5"/>
      <c r="C2" s="5"/>
      <c r="D2" s="5"/>
      <c r="E2" s="5"/>
      <c r="F2" s="5"/>
      <c r="G2" s="5"/>
      <c r="H2" s="5"/>
      <c r="I2" s="5"/>
      <c r="J2" s="5"/>
      <c r="K2" s="5"/>
      <c r="L2" s="6"/>
    </row>
    <row r="3" spans="1:12" x14ac:dyDescent="0.25">
      <c r="A3" s="4" t="s">
        <v>50</v>
      </c>
      <c r="B3" s="5"/>
      <c r="C3" s="5"/>
      <c r="D3" s="5"/>
      <c r="E3" s="5"/>
      <c r="F3" s="5"/>
      <c r="G3" s="5"/>
      <c r="H3" s="5"/>
      <c r="I3" s="5"/>
      <c r="J3" s="5"/>
      <c r="K3" s="5"/>
      <c r="L3" s="6"/>
    </row>
    <row r="4" spans="1:12" x14ac:dyDescent="0.25">
      <c r="A4" s="4" t="s">
        <v>44</v>
      </c>
      <c r="B4" s="5"/>
      <c r="C4" s="5"/>
      <c r="D4" s="5"/>
      <c r="E4" s="5"/>
      <c r="F4" s="5"/>
      <c r="G4" s="5"/>
      <c r="H4" s="5"/>
      <c r="I4" s="5"/>
      <c r="J4" s="5"/>
      <c r="K4" s="5"/>
      <c r="L4" s="6"/>
    </row>
    <row r="5" spans="1:12" x14ac:dyDescent="0.25">
      <c r="A5" s="4" t="s">
        <v>28</v>
      </c>
      <c r="B5" s="5"/>
      <c r="C5" s="5"/>
      <c r="D5" s="5"/>
      <c r="E5" s="5"/>
      <c r="F5" s="5"/>
      <c r="G5" s="5"/>
      <c r="H5" s="5"/>
      <c r="I5" s="5"/>
      <c r="J5" s="5"/>
      <c r="K5" s="5"/>
      <c r="L5" s="6"/>
    </row>
    <row r="6" spans="1:12" x14ac:dyDescent="0.25">
      <c r="A6" s="7" t="s">
        <v>45</v>
      </c>
      <c r="B6" s="8"/>
      <c r="C6" s="8"/>
      <c r="D6" s="8"/>
      <c r="E6" s="8"/>
      <c r="F6" s="8"/>
      <c r="G6" s="8"/>
      <c r="H6" s="8"/>
      <c r="I6" s="8"/>
      <c r="J6" s="8"/>
      <c r="K6" s="8"/>
      <c r="L6" s="9"/>
    </row>
    <row r="8" spans="1:12" x14ac:dyDescent="0.25">
      <c r="A8" s="29" t="s">
        <v>16</v>
      </c>
      <c r="B8" s="10" t="s">
        <v>15</v>
      </c>
      <c r="C8" s="10" t="s">
        <v>1</v>
      </c>
      <c r="D8" s="10" t="s">
        <v>2</v>
      </c>
      <c r="E8" s="18" t="s">
        <v>25</v>
      </c>
      <c r="K8" s="36" t="s">
        <v>15</v>
      </c>
      <c r="L8" s="37" t="s">
        <v>0</v>
      </c>
    </row>
    <row r="9" spans="1:12" x14ac:dyDescent="0.25">
      <c r="A9" s="30">
        <v>42471</v>
      </c>
      <c r="B9" s="11" t="s">
        <v>8</v>
      </c>
      <c r="C9" s="12">
        <v>0.33333333333333331</v>
      </c>
      <c r="D9" s="12">
        <v>0.60416666666666663</v>
      </c>
      <c r="E9">
        <f>(D9-C9)*24*VLOOKUP(B9,$K$9:$L$15,2,0)</f>
        <v>175.17499999999998</v>
      </c>
      <c r="G9" s="28"/>
      <c r="K9" s="34" t="s">
        <v>8</v>
      </c>
      <c r="L9" s="35">
        <v>26.95</v>
      </c>
    </row>
    <row r="10" spans="1:12" x14ac:dyDescent="0.25">
      <c r="A10" s="30">
        <v>42471</v>
      </c>
      <c r="B10" s="11" t="s">
        <v>9</v>
      </c>
      <c r="C10" s="12">
        <v>0.33333333333333331</v>
      </c>
      <c r="D10" s="12">
        <v>0.6166666666666667</v>
      </c>
      <c r="E10">
        <f t="shared" ref="E10:E57" si="0">(D10-C10)*24*VLOOKUP(B10,$K$9:$L$15,2,0)</f>
        <v>221.00000000000003</v>
      </c>
      <c r="G10" s="28"/>
      <c r="K10" s="34" t="s">
        <v>9</v>
      </c>
      <c r="L10" s="35">
        <v>32.5</v>
      </c>
    </row>
    <row r="11" spans="1:12" x14ac:dyDescent="0.25">
      <c r="A11" s="30">
        <v>42471</v>
      </c>
      <c r="B11" s="11" t="s">
        <v>10</v>
      </c>
      <c r="C11" s="12">
        <v>0.33333333333333331</v>
      </c>
      <c r="D11" s="12">
        <v>0.66666666666666663</v>
      </c>
      <c r="E11">
        <f t="shared" si="0"/>
        <v>292</v>
      </c>
      <c r="G11" s="28"/>
      <c r="K11" s="34" t="s">
        <v>10</v>
      </c>
      <c r="L11" s="35">
        <v>36.5</v>
      </c>
    </row>
    <row r="12" spans="1:12" x14ac:dyDescent="0.25">
      <c r="A12" s="30">
        <v>42471</v>
      </c>
      <c r="B12" s="11" t="s">
        <v>11</v>
      </c>
      <c r="C12" s="12">
        <v>0.33333333333333331</v>
      </c>
      <c r="D12" s="12">
        <v>0.60833333333333339</v>
      </c>
      <c r="E12">
        <f t="shared" si="0"/>
        <v>128.70000000000002</v>
      </c>
      <c r="G12" s="28"/>
      <c r="K12" s="34" t="s">
        <v>11</v>
      </c>
      <c r="L12" s="35">
        <v>19.5</v>
      </c>
    </row>
    <row r="13" spans="1:12" x14ac:dyDescent="0.25">
      <c r="A13" s="30">
        <v>42471</v>
      </c>
      <c r="B13" s="11" t="s">
        <v>12</v>
      </c>
      <c r="C13" s="12">
        <v>0.375</v>
      </c>
      <c r="D13" s="12">
        <v>0.70833333333333326</v>
      </c>
      <c r="E13">
        <f t="shared" si="0"/>
        <v>239.99999999999994</v>
      </c>
      <c r="G13" s="28"/>
      <c r="K13" s="34" t="s">
        <v>12</v>
      </c>
      <c r="L13" s="35">
        <v>30</v>
      </c>
    </row>
    <row r="14" spans="1:12" x14ac:dyDescent="0.25">
      <c r="A14" s="30">
        <v>42471</v>
      </c>
      <c r="B14" s="11" t="s">
        <v>13</v>
      </c>
      <c r="C14" s="12">
        <v>0.375</v>
      </c>
      <c r="D14" s="12">
        <v>0.64166666666666661</v>
      </c>
      <c r="E14">
        <f t="shared" si="0"/>
        <v>177.59999999999997</v>
      </c>
      <c r="G14" s="28"/>
      <c r="K14" s="34" t="s">
        <v>13</v>
      </c>
      <c r="L14" s="35">
        <v>27.75</v>
      </c>
    </row>
    <row r="15" spans="1:12" x14ac:dyDescent="0.25">
      <c r="A15" s="30">
        <v>42471</v>
      </c>
      <c r="B15" s="11" t="s">
        <v>14</v>
      </c>
      <c r="C15" s="12">
        <v>0.375</v>
      </c>
      <c r="D15" s="12">
        <v>0.6333333333333333</v>
      </c>
      <c r="E15">
        <f t="shared" si="0"/>
        <v>148.79999999999998</v>
      </c>
      <c r="G15" s="28"/>
      <c r="K15" s="38" t="s">
        <v>14</v>
      </c>
      <c r="L15" s="39">
        <v>24</v>
      </c>
    </row>
    <row r="16" spans="1:12" x14ac:dyDescent="0.25">
      <c r="A16" s="30">
        <v>42472</v>
      </c>
      <c r="B16" s="11" t="s">
        <v>8</v>
      </c>
      <c r="C16" s="12" t="s">
        <v>18</v>
      </c>
      <c r="D16" s="12">
        <v>0.62083333333333335</v>
      </c>
      <c r="E16" t="e">
        <f t="shared" si="0"/>
        <v>#VALUE!</v>
      </c>
      <c r="G16" s="28"/>
    </row>
    <row r="17" spans="1:7" x14ac:dyDescent="0.25">
      <c r="A17" s="30">
        <v>42472</v>
      </c>
      <c r="B17" s="11" t="s">
        <v>9</v>
      </c>
      <c r="C17" s="12">
        <v>0.33333333333333331</v>
      </c>
      <c r="D17" s="12">
        <v>0.66666666666666663</v>
      </c>
      <c r="E17">
        <f t="shared" si="0"/>
        <v>260</v>
      </c>
      <c r="G17" s="28"/>
    </row>
    <row r="18" spans="1:7" x14ac:dyDescent="0.25">
      <c r="A18" s="30">
        <v>42472</v>
      </c>
      <c r="B18" s="11" t="s">
        <v>10</v>
      </c>
      <c r="C18" s="12">
        <v>0.375</v>
      </c>
      <c r="D18" s="12">
        <v>0.65416666666666667</v>
      </c>
      <c r="E18">
        <f t="shared" si="0"/>
        <v>244.55</v>
      </c>
      <c r="G18" s="28"/>
    </row>
    <row r="19" spans="1:7" x14ac:dyDescent="0.25">
      <c r="A19" s="30">
        <v>42472</v>
      </c>
      <c r="B19" s="11" t="s">
        <v>11</v>
      </c>
      <c r="C19" s="12">
        <v>0.33333333333333331</v>
      </c>
      <c r="D19" s="12">
        <v>0.61250000000000004</v>
      </c>
      <c r="E19">
        <f t="shared" si="0"/>
        <v>130.65000000000003</v>
      </c>
      <c r="G19" s="28"/>
    </row>
    <row r="20" spans="1:7" x14ac:dyDescent="0.25">
      <c r="A20" s="30">
        <v>42472</v>
      </c>
      <c r="B20" s="11" t="s">
        <v>12</v>
      </c>
      <c r="C20" s="12">
        <v>0.33333333333333331</v>
      </c>
      <c r="D20" s="12">
        <v>0.64166666666666661</v>
      </c>
      <c r="E20">
        <f t="shared" si="0"/>
        <v>221.99999999999994</v>
      </c>
      <c r="G20" s="28"/>
    </row>
    <row r="21" spans="1:7" x14ac:dyDescent="0.25">
      <c r="A21" s="30">
        <v>42472</v>
      </c>
      <c r="B21" s="11" t="s">
        <v>13</v>
      </c>
      <c r="C21" s="12">
        <v>0.375</v>
      </c>
      <c r="D21" s="12">
        <v>0.70833333333333326</v>
      </c>
      <c r="E21">
        <f t="shared" si="0"/>
        <v>221.99999999999994</v>
      </c>
      <c r="G21" s="28"/>
    </row>
    <row r="22" spans="1:7" x14ac:dyDescent="0.25">
      <c r="A22" s="30">
        <v>42472</v>
      </c>
      <c r="B22" s="11" t="s">
        <v>14</v>
      </c>
      <c r="C22" s="12">
        <v>0.3125</v>
      </c>
      <c r="D22" s="12">
        <v>0.63749999999999996</v>
      </c>
      <c r="E22">
        <f t="shared" si="0"/>
        <v>187.2</v>
      </c>
      <c r="G22" s="28"/>
    </row>
    <row r="23" spans="1:7" x14ac:dyDescent="0.25">
      <c r="A23" s="30">
        <v>42473</v>
      </c>
      <c r="B23" s="11" t="s">
        <v>8</v>
      </c>
      <c r="C23" s="12">
        <v>0.33333333333333331</v>
      </c>
      <c r="D23" s="12">
        <v>0.65833333333333333</v>
      </c>
      <c r="E23">
        <f t="shared" si="0"/>
        <v>210.21</v>
      </c>
      <c r="G23" s="28"/>
    </row>
    <row r="24" spans="1:7" x14ac:dyDescent="0.25">
      <c r="A24" s="30">
        <v>42473</v>
      </c>
      <c r="B24" s="11" t="s">
        <v>9</v>
      </c>
      <c r="C24" s="12">
        <v>0.375</v>
      </c>
      <c r="D24" s="12">
        <v>0.65416666666666667</v>
      </c>
      <c r="E24">
        <f t="shared" si="0"/>
        <v>217.75</v>
      </c>
      <c r="G24" s="28"/>
    </row>
    <row r="25" spans="1:7" x14ac:dyDescent="0.25">
      <c r="A25" s="30">
        <v>42473</v>
      </c>
      <c r="B25" s="11" t="s">
        <v>10</v>
      </c>
      <c r="C25" s="12">
        <v>0.375</v>
      </c>
      <c r="D25" s="12">
        <v>0.66666666666666674</v>
      </c>
      <c r="E25">
        <f t="shared" si="0"/>
        <v>255.50000000000006</v>
      </c>
      <c r="G25" s="28"/>
    </row>
    <row r="26" spans="1:7" x14ac:dyDescent="0.25">
      <c r="A26" s="30">
        <v>42473</v>
      </c>
      <c r="B26" s="11" t="s">
        <v>11</v>
      </c>
      <c r="C26" s="12">
        <v>0.375</v>
      </c>
      <c r="D26" s="12">
        <v>0.67083333333333339</v>
      </c>
      <c r="E26">
        <f t="shared" si="0"/>
        <v>138.45000000000002</v>
      </c>
      <c r="G26" s="28"/>
    </row>
    <row r="27" spans="1:7" x14ac:dyDescent="0.25">
      <c r="A27" s="30">
        <v>42473</v>
      </c>
      <c r="B27" s="11" t="s">
        <v>12</v>
      </c>
      <c r="C27" s="12">
        <v>0.375</v>
      </c>
      <c r="D27" s="12">
        <v>0.63749999999999996</v>
      </c>
      <c r="E27">
        <f t="shared" si="0"/>
        <v>188.99999999999997</v>
      </c>
      <c r="G27" s="28"/>
    </row>
    <row r="28" spans="1:7" x14ac:dyDescent="0.25">
      <c r="A28" s="30">
        <v>42473</v>
      </c>
      <c r="B28" s="11" t="s">
        <v>13</v>
      </c>
      <c r="C28" s="12">
        <v>0.375</v>
      </c>
      <c r="D28" s="12">
        <v>0.64583333333333326</v>
      </c>
      <c r="E28">
        <f t="shared" si="0"/>
        <v>180.37499999999994</v>
      </c>
      <c r="G28" s="28"/>
    </row>
    <row r="29" spans="1:7" x14ac:dyDescent="0.25">
      <c r="A29" s="30">
        <v>42473</v>
      </c>
      <c r="B29" s="11" t="s">
        <v>14</v>
      </c>
      <c r="C29" s="12">
        <v>0.33333333333333331</v>
      </c>
      <c r="D29" s="12">
        <v>0.6333333333333333</v>
      </c>
      <c r="E29">
        <f t="shared" si="0"/>
        <v>172.79999999999998</v>
      </c>
      <c r="G29" s="28"/>
    </row>
    <row r="30" spans="1:7" x14ac:dyDescent="0.25">
      <c r="A30" s="30">
        <v>42474</v>
      </c>
      <c r="B30" s="11" t="s">
        <v>8</v>
      </c>
      <c r="C30" s="12">
        <v>0.3125</v>
      </c>
      <c r="D30" s="12">
        <v>0.56666666666666665</v>
      </c>
      <c r="E30">
        <f t="shared" si="0"/>
        <v>164.39499999999998</v>
      </c>
      <c r="G30" s="28"/>
    </row>
    <row r="31" spans="1:7" x14ac:dyDescent="0.25">
      <c r="A31" s="30">
        <v>42474</v>
      </c>
      <c r="B31" s="11" t="s">
        <v>9</v>
      </c>
      <c r="C31" s="12">
        <v>0.375</v>
      </c>
      <c r="D31" s="12">
        <v>0.66249999999999998</v>
      </c>
      <c r="E31">
        <f t="shared" si="0"/>
        <v>224.24999999999997</v>
      </c>
      <c r="G31" s="28"/>
    </row>
    <row r="32" spans="1:7" x14ac:dyDescent="0.25">
      <c r="A32" s="30">
        <v>42474</v>
      </c>
      <c r="B32" s="11" t="s">
        <v>10</v>
      </c>
      <c r="C32" s="12">
        <v>0.33333333333333331</v>
      </c>
      <c r="D32" s="12">
        <v>0.61250000000000004</v>
      </c>
      <c r="E32">
        <f t="shared" si="0"/>
        <v>244.55000000000004</v>
      </c>
      <c r="G32" s="28"/>
    </row>
    <row r="33" spans="1:7" x14ac:dyDescent="0.25">
      <c r="A33" s="30">
        <v>42474</v>
      </c>
      <c r="B33" s="11" t="s">
        <v>11</v>
      </c>
      <c r="C33" s="12">
        <v>0.375</v>
      </c>
      <c r="D33" s="12">
        <v>0.70416666666666661</v>
      </c>
      <c r="E33">
        <f t="shared" si="0"/>
        <v>154.04999999999998</v>
      </c>
      <c r="G33" s="28"/>
    </row>
    <row r="34" spans="1:7" x14ac:dyDescent="0.25">
      <c r="A34" s="30">
        <v>42474</v>
      </c>
      <c r="B34" s="11" t="s">
        <v>12</v>
      </c>
      <c r="C34" s="12">
        <v>0.375</v>
      </c>
      <c r="D34" s="12">
        <v>0.6791666666666667</v>
      </c>
      <c r="E34">
        <f t="shared" si="0"/>
        <v>219.00000000000003</v>
      </c>
      <c r="G34" s="28"/>
    </row>
    <row r="35" spans="1:7" x14ac:dyDescent="0.25">
      <c r="A35" s="30">
        <v>42474</v>
      </c>
      <c r="B35" s="11" t="s">
        <v>13</v>
      </c>
      <c r="C35" s="12" t="s">
        <v>17</v>
      </c>
      <c r="D35" s="12">
        <v>0.62916666666666665</v>
      </c>
      <c r="E35" t="e">
        <f t="shared" si="0"/>
        <v>#VALUE!</v>
      </c>
      <c r="G35" s="28"/>
    </row>
    <row r="36" spans="1:7" x14ac:dyDescent="0.25">
      <c r="A36" s="30">
        <v>42474</v>
      </c>
      <c r="B36" s="11" t="s">
        <v>14</v>
      </c>
      <c r="C36" s="12">
        <v>0.3125</v>
      </c>
      <c r="D36" s="12">
        <v>0.58750000000000002</v>
      </c>
      <c r="E36">
        <f t="shared" si="0"/>
        <v>158.4</v>
      </c>
      <c r="G36" s="28"/>
    </row>
    <row r="37" spans="1:7" x14ac:dyDescent="0.25">
      <c r="A37" s="30">
        <v>42475</v>
      </c>
      <c r="B37" s="11" t="s">
        <v>8</v>
      </c>
      <c r="C37" s="12">
        <v>0.3125</v>
      </c>
      <c r="D37" s="12">
        <v>0.57499999999999996</v>
      </c>
      <c r="E37">
        <f t="shared" si="0"/>
        <v>169.78499999999997</v>
      </c>
      <c r="G37" s="28"/>
    </row>
    <row r="38" spans="1:7" x14ac:dyDescent="0.25">
      <c r="A38" s="30">
        <v>42475</v>
      </c>
      <c r="B38" s="11" t="s">
        <v>9</v>
      </c>
      <c r="C38" s="12">
        <v>0.3125</v>
      </c>
      <c r="D38" s="12">
        <v>0.56666666666666665</v>
      </c>
      <c r="E38">
        <f t="shared" si="0"/>
        <v>198.25</v>
      </c>
      <c r="G38" s="28"/>
    </row>
    <row r="39" spans="1:7" x14ac:dyDescent="0.25">
      <c r="A39" s="30">
        <v>42475</v>
      </c>
      <c r="B39" s="11" t="s">
        <v>10</v>
      </c>
      <c r="C39" s="12">
        <v>0.375</v>
      </c>
      <c r="D39" s="12">
        <v>0.69166666666666665</v>
      </c>
      <c r="E39">
        <f t="shared" si="0"/>
        <v>277.39999999999998</v>
      </c>
      <c r="G39" s="28"/>
    </row>
    <row r="40" spans="1:7" x14ac:dyDescent="0.25">
      <c r="A40" s="30">
        <v>42475</v>
      </c>
      <c r="B40" s="11" t="s">
        <v>11</v>
      </c>
      <c r="C40" s="12">
        <v>0.375</v>
      </c>
      <c r="D40" s="12">
        <v>0.6333333333333333</v>
      </c>
      <c r="E40">
        <f t="shared" si="0"/>
        <v>120.89999999999999</v>
      </c>
      <c r="G40" s="28"/>
    </row>
    <row r="41" spans="1:7" x14ac:dyDescent="0.25">
      <c r="A41" s="30">
        <v>42475</v>
      </c>
      <c r="B41" s="11" t="s">
        <v>12</v>
      </c>
      <c r="C41" s="12">
        <v>0.375</v>
      </c>
      <c r="D41" s="12">
        <v>0.62916666666666665</v>
      </c>
      <c r="E41">
        <f t="shared" si="0"/>
        <v>183</v>
      </c>
      <c r="G41" s="28"/>
    </row>
    <row r="42" spans="1:7" x14ac:dyDescent="0.25">
      <c r="A42" s="30">
        <v>42475</v>
      </c>
      <c r="B42" s="11" t="s">
        <v>13</v>
      </c>
      <c r="C42" s="12">
        <v>0.375</v>
      </c>
      <c r="D42" s="12">
        <v>0.70416666666666661</v>
      </c>
      <c r="E42">
        <f t="shared" si="0"/>
        <v>219.22499999999997</v>
      </c>
      <c r="G42" s="28"/>
    </row>
    <row r="43" spans="1:7" x14ac:dyDescent="0.25">
      <c r="A43" s="30">
        <v>42475</v>
      </c>
      <c r="B43" s="11" t="s">
        <v>14</v>
      </c>
      <c r="C43" s="12">
        <v>0.33333333333333331</v>
      </c>
      <c r="D43" s="12">
        <v>0.65416666666666667</v>
      </c>
      <c r="E43">
        <f t="shared" si="0"/>
        <v>184.8</v>
      </c>
      <c r="G43" s="28"/>
    </row>
    <row r="44" spans="1:7" x14ac:dyDescent="0.25">
      <c r="A44" s="30">
        <v>42478</v>
      </c>
      <c r="B44" s="11" t="s">
        <v>8</v>
      </c>
      <c r="C44" s="12">
        <v>0.375</v>
      </c>
      <c r="D44" s="12">
        <v>0.7</v>
      </c>
      <c r="E44">
        <f t="shared" si="0"/>
        <v>210.20999999999998</v>
      </c>
      <c r="G44" s="28"/>
    </row>
    <row r="45" spans="1:7" x14ac:dyDescent="0.25">
      <c r="A45" s="30">
        <v>42478</v>
      </c>
      <c r="B45" s="11" t="s">
        <v>9</v>
      </c>
      <c r="C45" s="12">
        <v>0.375</v>
      </c>
      <c r="D45" s="12">
        <v>0.65833333333333333</v>
      </c>
      <c r="E45">
        <f t="shared" si="0"/>
        <v>221</v>
      </c>
      <c r="G45" s="28"/>
    </row>
    <row r="46" spans="1:7" x14ac:dyDescent="0.25">
      <c r="A46" s="30">
        <v>42478</v>
      </c>
      <c r="B46" s="11" t="s">
        <v>10</v>
      </c>
      <c r="C46" s="12">
        <v>0.375</v>
      </c>
      <c r="D46" s="12">
        <v>0.66249999999999998</v>
      </c>
      <c r="E46">
        <f t="shared" si="0"/>
        <v>251.85</v>
      </c>
      <c r="G46" s="28"/>
    </row>
    <row r="47" spans="1:7" x14ac:dyDescent="0.25">
      <c r="A47" s="30">
        <v>42478</v>
      </c>
      <c r="B47" s="11" t="s">
        <v>11</v>
      </c>
      <c r="C47" s="12">
        <v>0.3125</v>
      </c>
      <c r="D47" s="12">
        <v>0.58333333333333326</v>
      </c>
      <c r="E47">
        <f t="shared" si="0"/>
        <v>126.74999999999997</v>
      </c>
      <c r="G47" s="28"/>
    </row>
    <row r="48" spans="1:7" x14ac:dyDescent="0.25">
      <c r="A48" s="30">
        <v>42478</v>
      </c>
      <c r="B48" s="11" t="s">
        <v>12</v>
      </c>
      <c r="C48" s="12">
        <v>0.3125</v>
      </c>
      <c r="D48" s="12">
        <v>0.59166666666666667</v>
      </c>
      <c r="E48">
        <f t="shared" si="0"/>
        <v>201</v>
      </c>
      <c r="G48" s="28"/>
    </row>
    <row r="49" spans="1:7" x14ac:dyDescent="0.25">
      <c r="A49" s="30">
        <v>42478</v>
      </c>
      <c r="B49" s="11" t="s">
        <v>13</v>
      </c>
      <c r="C49" s="12">
        <v>0.33333333333333331</v>
      </c>
      <c r="D49" s="12">
        <v>0.58333333333333326</v>
      </c>
      <c r="E49">
        <f t="shared" si="0"/>
        <v>166.49999999999994</v>
      </c>
      <c r="G49" s="28"/>
    </row>
    <row r="50" spans="1:7" x14ac:dyDescent="0.25">
      <c r="A50" s="30">
        <v>42478</v>
      </c>
      <c r="B50" s="11" t="s">
        <v>14</v>
      </c>
      <c r="C50" s="12">
        <v>0.375</v>
      </c>
      <c r="D50" s="12">
        <v>0.625</v>
      </c>
      <c r="E50">
        <f t="shared" si="0"/>
        <v>144</v>
      </c>
      <c r="G50" s="28"/>
    </row>
    <row r="51" spans="1:7" x14ac:dyDescent="0.25">
      <c r="A51" s="30">
        <v>42479</v>
      </c>
      <c r="B51" s="11" t="s">
        <v>8</v>
      </c>
      <c r="C51" s="12">
        <v>0.375</v>
      </c>
      <c r="D51" s="12">
        <v>0.6875</v>
      </c>
      <c r="E51">
        <f t="shared" si="0"/>
        <v>202.125</v>
      </c>
      <c r="G51" s="28"/>
    </row>
    <row r="52" spans="1:7" x14ac:dyDescent="0.25">
      <c r="A52" s="30">
        <v>42479</v>
      </c>
      <c r="B52" s="11" t="s">
        <v>9</v>
      </c>
      <c r="C52" s="12">
        <v>0.33333333333333331</v>
      </c>
      <c r="D52" s="12">
        <v>0.64999999999999991</v>
      </c>
      <c r="E52">
        <f t="shared" si="0"/>
        <v>246.99999999999994</v>
      </c>
      <c r="G52" s="28"/>
    </row>
    <row r="53" spans="1:7" x14ac:dyDescent="0.25">
      <c r="A53" s="30">
        <v>42479</v>
      </c>
      <c r="B53" s="11" t="s">
        <v>10</v>
      </c>
      <c r="C53" s="12">
        <v>0.33333333333333331</v>
      </c>
      <c r="D53" s="12" t="s">
        <v>19</v>
      </c>
      <c r="E53" t="e">
        <f t="shared" si="0"/>
        <v>#VALUE!</v>
      </c>
      <c r="G53" s="28"/>
    </row>
    <row r="54" spans="1:7" x14ac:dyDescent="0.25">
      <c r="A54" s="30">
        <v>42479</v>
      </c>
      <c r="B54" s="11" t="s">
        <v>11</v>
      </c>
      <c r="C54" s="12">
        <v>0.375</v>
      </c>
      <c r="D54" s="12">
        <v>0.64166666666666661</v>
      </c>
      <c r="E54">
        <f t="shared" si="0"/>
        <v>124.79999999999997</v>
      </c>
      <c r="G54" s="28"/>
    </row>
    <row r="55" spans="1:7" x14ac:dyDescent="0.25">
      <c r="A55" s="30">
        <v>42479</v>
      </c>
      <c r="B55" s="11" t="s">
        <v>12</v>
      </c>
      <c r="C55" s="12">
        <v>0.33333333333333331</v>
      </c>
      <c r="D55" s="12">
        <v>0.6</v>
      </c>
      <c r="E55">
        <f t="shared" si="0"/>
        <v>192</v>
      </c>
      <c r="G55" s="28"/>
    </row>
    <row r="56" spans="1:7" x14ac:dyDescent="0.25">
      <c r="A56" s="30">
        <v>42479</v>
      </c>
      <c r="B56" s="11" t="s">
        <v>13</v>
      </c>
      <c r="C56" s="12">
        <v>0.33333333333333331</v>
      </c>
      <c r="D56" s="12">
        <v>0.59583333333333333</v>
      </c>
      <c r="E56">
        <f t="shared" si="0"/>
        <v>174.82500000000002</v>
      </c>
      <c r="G56" s="28"/>
    </row>
    <row r="57" spans="1:7" x14ac:dyDescent="0.25">
      <c r="A57" s="30">
        <v>42479</v>
      </c>
      <c r="B57" s="11" t="s">
        <v>14</v>
      </c>
      <c r="C57" s="12">
        <v>0.375</v>
      </c>
      <c r="D57" s="12">
        <v>0.65</v>
      </c>
      <c r="E57">
        <f t="shared" si="0"/>
        <v>158.4</v>
      </c>
      <c r="G57" s="28"/>
    </row>
  </sheetData>
  <pageMargins left="0.7" right="0.7" top="0.75" bottom="0.75" header="0.3" footer="0.3"/>
  <pageSetup orientation="landscape" r:id="rId1"/>
  <headerFooter>
    <oddFooter>&amp;LPayroll Printout&amp;CPage &amp;P of &amp;N</oddFooter>
  </headerFooter>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L60"/>
  <sheetViews>
    <sheetView zoomScaleNormal="100" workbookViewId="0">
      <selection activeCell="G9" sqref="G9"/>
    </sheetView>
  </sheetViews>
  <sheetFormatPr defaultRowHeight="15" x14ac:dyDescent="0.25"/>
  <cols>
    <col min="1" max="1" width="20" customWidth="1"/>
    <col min="2" max="2" width="17.140625" customWidth="1"/>
    <col min="3" max="4" width="10.42578125" customWidth="1"/>
    <col min="5" max="5" width="11.5703125" bestFit="1" customWidth="1"/>
    <col min="6" max="6" width="13.7109375" bestFit="1" customWidth="1"/>
    <col min="7" max="7" width="14.42578125" bestFit="1" customWidth="1"/>
    <col min="8" max="8" width="13.42578125" bestFit="1" customWidth="1"/>
    <col min="9" max="9" width="15.28515625" customWidth="1"/>
    <col min="11" max="11" width="18.42578125" customWidth="1"/>
    <col min="12" max="12" width="23" bestFit="1" customWidth="1"/>
  </cols>
  <sheetData>
    <row r="1" spans="1:12" x14ac:dyDescent="0.25">
      <c r="A1" s="1" t="s">
        <v>20</v>
      </c>
      <c r="B1" s="2"/>
      <c r="C1" s="2"/>
      <c r="D1" s="2"/>
      <c r="E1" s="2"/>
      <c r="F1" s="2"/>
      <c r="G1" s="2"/>
      <c r="H1" s="2"/>
      <c r="I1" s="2"/>
      <c r="J1" s="2"/>
      <c r="K1" s="2"/>
      <c r="L1" s="3"/>
    </row>
    <row r="2" spans="1:12" x14ac:dyDescent="0.25">
      <c r="A2" s="4" t="s">
        <v>42</v>
      </c>
      <c r="B2" s="5"/>
      <c r="C2" s="5"/>
      <c r="D2" s="5"/>
      <c r="E2" s="5"/>
      <c r="F2" s="5"/>
      <c r="G2" s="5"/>
      <c r="H2" s="5"/>
      <c r="I2" s="5"/>
      <c r="J2" s="5"/>
      <c r="K2" s="5"/>
      <c r="L2" s="6"/>
    </row>
    <row r="3" spans="1:12" x14ac:dyDescent="0.25">
      <c r="A3" s="4" t="s">
        <v>43</v>
      </c>
      <c r="B3" s="5"/>
      <c r="C3" s="5"/>
      <c r="D3" s="5"/>
      <c r="E3" s="5"/>
      <c r="F3" s="5"/>
      <c r="G3" s="5"/>
      <c r="H3" s="5"/>
      <c r="I3" s="5"/>
      <c r="J3" s="5"/>
      <c r="K3" s="5"/>
      <c r="L3" s="6"/>
    </row>
    <row r="4" spans="1:12" x14ac:dyDescent="0.25">
      <c r="A4" s="4" t="s">
        <v>44</v>
      </c>
      <c r="B4" s="5"/>
      <c r="C4" s="5"/>
      <c r="D4" s="5"/>
      <c r="E4" s="5"/>
      <c r="F4" s="5"/>
      <c r="G4" s="5"/>
      <c r="H4" s="5"/>
      <c r="I4" s="5"/>
      <c r="J4" s="5"/>
      <c r="K4" s="5"/>
      <c r="L4" s="6"/>
    </row>
    <row r="5" spans="1:12" x14ac:dyDescent="0.25">
      <c r="A5" s="4" t="s">
        <v>28</v>
      </c>
      <c r="B5" s="5"/>
      <c r="C5" s="5"/>
      <c r="D5" s="5"/>
      <c r="E5" s="5"/>
      <c r="F5" s="5"/>
      <c r="G5" s="5"/>
      <c r="H5" s="5"/>
      <c r="I5" s="5"/>
      <c r="J5" s="5"/>
      <c r="K5" s="5"/>
      <c r="L5" s="6"/>
    </row>
    <row r="6" spans="1:12" x14ac:dyDescent="0.25">
      <c r="A6" s="7" t="s">
        <v>45</v>
      </c>
      <c r="B6" s="8"/>
      <c r="C6" s="8"/>
      <c r="D6" s="8"/>
      <c r="E6" s="8"/>
      <c r="F6" s="8"/>
      <c r="G6" s="8"/>
      <c r="H6" s="8"/>
      <c r="I6" s="8"/>
      <c r="J6" s="8"/>
      <c r="K6" s="8"/>
      <c r="L6" s="9"/>
    </row>
    <row r="8" spans="1:12" x14ac:dyDescent="0.25">
      <c r="A8" s="10" t="s">
        <v>16</v>
      </c>
      <c r="B8" s="10" t="s">
        <v>15</v>
      </c>
      <c r="C8" s="10" t="s">
        <v>1</v>
      </c>
      <c r="D8" s="10" t="s">
        <v>2</v>
      </c>
      <c r="E8" s="18" t="s">
        <v>23</v>
      </c>
      <c r="F8" s="18" t="s">
        <v>3</v>
      </c>
      <c r="G8" s="18" t="s">
        <v>25</v>
      </c>
      <c r="I8" s="19" t="s">
        <v>29</v>
      </c>
      <c r="K8" s="10" t="s">
        <v>15</v>
      </c>
      <c r="L8" s="10" t="s">
        <v>0</v>
      </c>
    </row>
    <row r="9" spans="1:12" x14ac:dyDescent="0.25">
      <c r="A9" s="17">
        <v>42471</v>
      </c>
      <c r="B9" s="11" t="s">
        <v>8</v>
      </c>
      <c r="C9" s="12">
        <v>0.33333333333333331</v>
      </c>
      <c r="D9" s="12">
        <v>0.60416666666666663</v>
      </c>
      <c r="E9" s="14">
        <f>VLOOKUP(B9,$K$9:$L$15,2,0)</f>
        <v>26.95</v>
      </c>
      <c r="F9" s="21">
        <f>(D9-C9)*24</f>
        <v>6.5</v>
      </c>
      <c r="G9" s="22">
        <f>ROUND(F9*E9,2)</f>
        <v>175.18</v>
      </c>
      <c r="I9">
        <f t="shared" ref="I9:I40" si="0">F9*E9</f>
        <v>175.17499999999998</v>
      </c>
      <c r="K9" s="11" t="s">
        <v>8</v>
      </c>
      <c r="L9" s="11">
        <v>26.95</v>
      </c>
    </row>
    <row r="10" spans="1:12" x14ac:dyDescent="0.25">
      <c r="A10" s="17">
        <v>42471</v>
      </c>
      <c r="B10" s="11" t="s">
        <v>9</v>
      </c>
      <c r="C10" s="12">
        <v>0.33333333333333331</v>
      </c>
      <c r="D10" s="12">
        <v>0.6166666666666667</v>
      </c>
      <c r="E10" s="14">
        <f t="shared" ref="E10:E57" si="1">VLOOKUP(B10,$K$9:$L$15,2,0)</f>
        <v>32.5</v>
      </c>
      <c r="F10" s="21">
        <f t="shared" ref="F10:F57" si="2">(D10-C10)*24</f>
        <v>6.8000000000000007</v>
      </c>
      <c r="G10" s="22">
        <f t="shared" ref="G10:G57" si="3">ROUND(F10*E10,2)</f>
        <v>221</v>
      </c>
      <c r="I10">
        <f t="shared" si="0"/>
        <v>221.00000000000003</v>
      </c>
      <c r="K10" s="11" t="s">
        <v>9</v>
      </c>
      <c r="L10" s="11">
        <v>32.5</v>
      </c>
    </row>
    <row r="11" spans="1:12" x14ac:dyDescent="0.25">
      <c r="A11" s="17">
        <v>42471</v>
      </c>
      <c r="B11" s="11" t="s">
        <v>10</v>
      </c>
      <c r="C11" s="12">
        <v>0.33333333333333331</v>
      </c>
      <c r="D11" s="12">
        <v>0.66666666666666663</v>
      </c>
      <c r="E11" s="14">
        <f t="shared" si="1"/>
        <v>36.5</v>
      </c>
      <c r="F11" s="21">
        <f t="shared" si="2"/>
        <v>8</v>
      </c>
      <c r="G11" s="22">
        <f t="shared" si="3"/>
        <v>292</v>
      </c>
      <c r="I11">
        <f t="shared" si="0"/>
        <v>292</v>
      </c>
      <c r="K11" s="11" t="s">
        <v>10</v>
      </c>
      <c r="L11" s="11">
        <v>36.5</v>
      </c>
    </row>
    <row r="12" spans="1:12" x14ac:dyDescent="0.25">
      <c r="A12" s="17">
        <v>42471</v>
      </c>
      <c r="B12" s="11" t="s">
        <v>11</v>
      </c>
      <c r="C12" s="12">
        <v>0.33333333333333331</v>
      </c>
      <c r="D12" s="12">
        <v>0.60833333333333339</v>
      </c>
      <c r="E12" s="14">
        <f t="shared" si="1"/>
        <v>19.5</v>
      </c>
      <c r="F12" s="21">
        <f t="shared" si="2"/>
        <v>6.6000000000000014</v>
      </c>
      <c r="G12" s="22">
        <f t="shared" si="3"/>
        <v>128.69999999999999</v>
      </c>
      <c r="I12">
        <f t="shared" si="0"/>
        <v>128.70000000000002</v>
      </c>
      <c r="K12" s="11" t="s">
        <v>11</v>
      </c>
      <c r="L12" s="11">
        <v>19.5</v>
      </c>
    </row>
    <row r="13" spans="1:12" x14ac:dyDescent="0.25">
      <c r="A13" s="17">
        <v>42471</v>
      </c>
      <c r="B13" s="11" t="s">
        <v>12</v>
      </c>
      <c r="C13" s="12">
        <v>0.375</v>
      </c>
      <c r="D13" s="12">
        <v>0.70833333333333326</v>
      </c>
      <c r="E13" s="14">
        <f t="shared" si="1"/>
        <v>30</v>
      </c>
      <c r="F13" s="21">
        <f t="shared" si="2"/>
        <v>7.9999999999999982</v>
      </c>
      <c r="G13" s="22">
        <f t="shared" si="3"/>
        <v>240</v>
      </c>
      <c r="I13">
        <f t="shared" si="0"/>
        <v>239.99999999999994</v>
      </c>
      <c r="K13" s="11" t="s">
        <v>12</v>
      </c>
      <c r="L13" s="11">
        <v>30</v>
      </c>
    </row>
    <row r="14" spans="1:12" x14ac:dyDescent="0.25">
      <c r="A14" s="17">
        <v>42471</v>
      </c>
      <c r="B14" s="11" t="s">
        <v>13</v>
      </c>
      <c r="C14" s="12">
        <v>0.375</v>
      </c>
      <c r="D14" s="12">
        <v>0.64166666666666661</v>
      </c>
      <c r="E14" s="14">
        <f t="shared" si="1"/>
        <v>27.75</v>
      </c>
      <c r="F14" s="21">
        <f t="shared" si="2"/>
        <v>6.3999999999999986</v>
      </c>
      <c r="G14" s="22">
        <f t="shared" si="3"/>
        <v>177.6</v>
      </c>
      <c r="I14">
        <f t="shared" si="0"/>
        <v>177.59999999999997</v>
      </c>
      <c r="K14" s="11" t="s">
        <v>13</v>
      </c>
      <c r="L14" s="11">
        <v>27.75</v>
      </c>
    </row>
    <row r="15" spans="1:12" x14ac:dyDescent="0.25">
      <c r="A15" s="17">
        <v>42471</v>
      </c>
      <c r="B15" s="11" t="s">
        <v>14</v>
      </c>
      <c r="C15" s="12">
        <v>0.375</v>
      </c>
      <c r="D15" s="12">
        <v>0.6333333333333333</v>
      </c>
      <c r="E15" s="14">
        <f t="shared" si="1"/>
        <v>24</v>
      </c>
      <c r="F15" s="21">
        <f t="shared" si="2"/>
        <v>6.1999999999999993</v>
      </c>
      <c r="G15" s="22">
        <f t="shared" si="3"/>
        <v>148.80000000000001</v>
      </c>
      <c r="I15">
        <f t="shared" si="0"/>
        <v>148.79999999999998</v>
      </c>
      <c r="K15" s="11" t="s">
        <v>14</v>
      </c>
      <c r="L15" s="11">
        <v>24</v>
      </c>
    </row>
    <row r="16" spans="1:12" x14ac:dyDescent="0.25">
      <c r="A16" s="17">
        <v>42472</v>
      </c>
      <c r="B16" s="11" t="s">
        <v>8</v>
      </c>
      <c r="C16" s="12">
        <v>0.3125</v>
      </c>
      <c r="D16" s="12">
        <v>0.62083333333333335</v>
      </c>
      <c r="E16" s="14">
        <f t="shared" si="1"/>
        <v>26.95</v>
      </c>
      <c r="F16" s="21">
        <f t="shared" si="2"/>
        <v>7.4</v>
      </c>
      <c r="G16" s="22">
        <f t="shared" si="3"/>
        <v>199.43</v>
      </c>
      <c r="I16">
        <f t="shared" si="0"/>
        <v>199.43</v>
      </c>
    </row>
    <row r="17" spans="1:12" x14ac:dyDescent="0.25">
      <c r="A17" s="17">
        <v>42472</v>
      </c>
      <c r="B17" s="11" t="s">
        <v>9</v>
      </c>
      <c r="C17" s="12">
        <v>0.33333333333333331</v>
      </c>
      <c r="D17" s="12">
        <v>0.66666666666666663</v>
      </c>
      <c r="E17" s="14">
        <f t="shared" si="1"/>
        <v>32.5</v>
      </c>
      <c r="F17" s="21">
        <f t="shared" si="2"/>
        <v>8</v>
      </c>
      <c r="G17" s="22">
        <f t="shared" si="3"/>
        <v>260</v>
      </c>
      <c r="I17">
        <f t="shared" si="0"/>
        <v>260</v>
      </c>
      <c r="K17" s="10" t="s">
        <v>15</v>
      </c>
      <c r="L17" s="10" t="s">
        <v>38</v>
      </c>
    </row>
    <row r="18" spans="1:12" x14ac:dyDescent="0.25">
      <c r="A18" s="17">
        <v>42472</v>
      </c>
      <c r="B18" s="11" t="s">
        <v>10</v>
      </c>
      <c r="C18" s="12">
        <v>0.375</v>
      </c>
      <c r="D18" s="12">
        <v>0.65416666666666667</v>
      </c>
      <c r="E18" s="14">
        <f t="shared" si="1"/>
        <v>36.5</v>
      </c>
      <c r="F18" s="21">
        <f t="shared" si="2"/>
        <v>6.7</v>
      </c>
      <c r="G18" s="22">
        <f t="shared" si="3"/>
        <v>244.55</v>
      </c>
      <c r="I18">
        <f t="shared" si="0"/>
        <v>244.55</v>
      </c>
      <c r="K18" s="11" t="s">
        <v>8</v>
      </c>
      <c r="L18" s="13">
        <f>SUMIFS($G$9:$G$57,$B$9:$B$57,K18)</f>
        <v>1331.35</v>
      </c>
    </row>
    <row r="19" spans="1:12" x14ac:dyDescent="0.25">
      <c r="A19" s="17">
        <v>42472</v>
      </c>
      <c r="B19" s="11" t="s">
        <v>11</v>
      </c>
      <c r="C19" s="12">
        <v>0.33333333333333331</v>
      </c>
      <c r="D19" s="12">
        <v>0.61250000000000004</v>
      </c>
      <c r="E19" s="14">
        <f t="shared" si="1"/>
        <v>19.5</v>
      </c>
      <c r="F19" s="21">
        <f t="shared" si="2"/>
        <v>6.7000000000000011</v>
      </c>
      <c r="G19" s="22">
        <f t="shared" si="3"/>
        <v>130.65</v>
      </c>
      <c r="I19">
        <f t="shared" si="0"/>
        <v>130.65000000000003</v>
      </c>
      <c r="K19" s="11" t="s">
        <v>9</v>
      </c>
      <c r="L19" s="13">
        <f t="shared" ref="L19:L24" si="4">SUMIFS($G$9:$G$57,$B$9:$B$57,K19)</f>
        <v>1589.25</v>
      </c>
    </row>
    <row r="20" spans="1:12" x14ac:dyDescent="0.25">
      <c r="A20" s="17">
        <v>42472</v>
      </c>
      <c r="B20" s="11" t="s">
        <v>12</v>
      </c>
      <c r="C20" s="12">
        <v>0.33333333333333331</v>
      </c>
      <c r="D20" s="12">
        <v>0.64166666666666661</v>
      </c>
      <c r="E20" s="14">
        <f t="shared" si="1"/>
        <v>30</v>
      </c>
      <c r="F20" s="21">
        <f t="shared" si="2"/>
        <v>7.3999999999999986</v>
      </c>
      <c r="G20" s="22">
        <f t="shared" si="3"/>
        <v>222</v>
      </c>
      <c r="I20">
        <f t="shared" si="0"/>
        <v>221.99999999999994</v>
      </c>
      <c r="K20" s="11" t="s">
        <v>10</v>
      </c>
      <c r="L20" s="13">
        <f t="shared" si="4"/>
        <v>1832.3</v>
      </c>
    </row>
    <row r="21" spans="1:12" x14ac:dyDescent="0.25">
      <c r="A21" s="17">
        <v>42472</v>
      </c>
      <c r="B21" s="11" t="s">
        <v>13</v>
      </c>
      <c r="C21" s="12">
        <v>0.375</v>
      </c>
      <c r="D21" s="12">
        <v>0.70833333333333326</v>
      </c>
      <c r="E21" s="14">
        <f t="shared" si="1"/>
        <v>27.75</v>
      </c>
      <c r="F21" s="21">
        <f t="shared" si="2"/>
        <v>7.9999999999999982</v>
      </c>
      <c r="G21" s="22">
        <f t="shared" si="3"/>
        <v>222</v>
      </c>
      <c r="I21">
        <f t="shared" si="0"/>
        <v>221.99999999999994</v>
      </c>
      <c r="K21" s="11" t="s">
        <v>11</v>
      </c>
      <c r="L21" s="13">
        <f t="shared" si="4"/>
        <v>924.3</v>
      </c>
    </row>
    <row r="22" spans="1:12" x14ac:dyDescent="0.25">
      <c r="A22" s="17">
        <v>42472</v>
      </c>
      <c r="B22" s="11" t="s">
        <v>14</v>
      </c>
      <c r="C22" s="12">
        <v>0.3125</v>
      </c>
      <c r="D22" s="12">
        <v>0.63749999999999996</v>
      </c>
      <c r="E22" s="14">
        <f t="shared" si="1"/>
        <v>24</v>
      </c>
      <c r="F22" s="21">
        <f t="shared" si="2"/>
        <v>7.7999999999999989</v>
      </c>
      <c r="G22" s="22">
        <f t="shared" si="3"/>
        <v>187.2</v>
      </c>
      <c r="I22">
        <f t="shared" si="0"/>
        <v>187.2</v>
      </c>
      <c r="K22" s="11" t="s">
        <v>12</v>
      </c>
      <c r="L22" s="13">
        <f t="shared" si="4"/>
        <v>1446</v>
      </c>
    </row>
    <row r="23" spans="1:12" x14ac:dyDescent="0.25">
      <c r="A23" s="17">
        <v>42473</v>
      </c>
      <c r="B23" s="11" t="s">
        <v>8</v>
      </c>
      <c r="C23" s="12">
        <v>0.33333333333333331</v>
      </c>
      <c r="D23" s="12">
        <v>0.65833333333333333</v>
      </c>
      <c r="E23" s="14">
        <f t="shared" si="1"/>
        <v>26.95</v>
      </c>
      <c r="F23" s="21">
        <f t="shared" si="2"/>
        <v>7.8000000000000007</v>
      </c>
      <c r="G23" s="22">
        <f t="shared" si="3"/>
        <v>210.21</v>
      </c>
      <c r="I23">
        <f t="shared" si="0"/>
        <v>210.21</v>
      </c>
      <c r="K23" s="11" t="s">
        <v>13</v>
      </c>
      <c r="L23" s="13">
        <f t="shared" si="4"/>
        <v>1309.82</v>
      </c>
    </row>
    <row r="24" spans="1:12" ht="15.75" thickBot="1" x14ac:dyDescent="0.3">
      <c r="A24" s="17">
        <v>42473</v>
      </c>
      <c r="B24" s="11" t="s">
        <v>9</v>
      </c>
      <c r="C24" s="12">
        <v>0.375</v>
      </c>
      <c r="D24" s="12">
        <v>0.65416666666666667</v>
      </c>
      <c r="E24" s="14">
        <f t="shared" si="1"/>
        <v>32.5</v>
      </c>
      <c r="F24" s="21">
        <f t="shared" si="2"/>
        <v>6.7</v>
      </c>
      <c r="G24" s="22">
        <f t="shared" si="3"/>
        <v>217.75</v>
      </c>
      <c r="I24">
        <f t="shared" si="0"/>
        <v>217.75</v>
      </c>
      <c r="K24" s="11" t="s">
        <v>14</v>
      </c>
      <c r="L24" s="13">
        <f t="shared" si="4"/>
        <v>1154.4000000000001</v>
      </c>
    </row>
    <row r="25" spans="1:12" ht="15.75" thickBot="1" x14ac:dyDescent="0.3">
      <c r="A25" s="17">
        <v>42473</v>
      </c>
      <c r="B25" s="11" t="s">
        <v>10</v>
      </c>
      <c r="C25" s="12">
        <v>0.375</v>
      </c>
      <c r="D25" s="12">
        <v>0.66666666666666674</v>
      </c>
      <c r="E25" s="14">
        <f t="shared" si="1"/>
        <v>36.5</v>
      </c>
      <c r="F25" s="21">
        <f t="shared" si="2"/>
        <v>7.0000000000000018</v>
      </c>
      <c r="G25" s="22">
        <f t="shared" si="3"/>
        <v>255.5</v>
      </c>
      <c r="I25">
        <f t="shared" si="0"/>
        <v>255.50000000000006</v>
      </c>
      <c r="K25" s="20" t="s">
        <v>39</v>
      </c>
      <c r="L25" s="23">
        <f>SUM(L18:L24)</f>
        <v>9587.42</v>
      </c>
    </row>
    <row r="26" spans="1:12" ht="15.75" thickTop="1" x14ac:dyDescent="0.25">
      <c r="A26" s="17">
        <v>42473</v>
      </c>
      <c r="B26" s="11" t="s">
        <v>11</v>
      </c>
      <c r="C26" s="12">
        <v>0.375</v>
      </c>
      <c r="D26" s="12">
        <v>0.67083333333333339</v>
      </c>
      <c r="E26" s="14">
        <f t="shared" si="1"/>
        <v>19.5</v>
      </c>
      <c r="F26" s="21">
        <f t="shared" si="2"/>
        <v>7.1000000000000014</v>
      </c>
      <c r="G26" s="22">
        <f t="shared" si="3"/>
        <v>138.44999999999999</v>
      </c>
      <c r="I26">
        <f t="shared" si="0"/>
        <v>138.45000000000002</v>
      </c>
    </row>
    <row r="27" spans="1:12" x14ac:dyDescent="0.25">
      <c r="A27" s="17">
        <v>42473</v>
      </c>
      <c r="B27" s="11" t="s">
        <v>12</v>
      </c>
      <c r="C27" s="12">
        <v>0.375</v>
      </c>
      <c r="D27" s="12">
        <v>0.63749999999999996</v>
      </c>
      <c r="E27" s="14">
        <f t="shared" si="1"/>
        <v>30</v>
      </c>
      <c r="F27" s="21">
        <f t="shared" si="2"/>
        <v>6.2999999999999989</v>
      </c>
      <c r="G27" s="22">
        <f t="shared" si="3"/>
        <v>189</v>
      </c>
      <c r="I27">
        <f t="shared" si="0"/>
        <v>188.99999999999997</v>
      </c>
    </row>
    <row r="28" spans="1:12" x14ac:dyDescent="0.25">
      <c r="A28" s="17">
        <v>42473</v>
      </c>
      <c r="B28" s="11" t="s">
        <v>13</v>
      </c>
      <c r="C28" s="12">
        <v>0.375</v>
      </c>
      <c r="D28" s="12">
        <v>0.64583333333333326</v>
      </c>
      <c r="E28" s="14">
        <f t="shared" si="1"/>
        <v>27.75</v>
      </c>
      <c r="F28" s="21">
        <f t="shared" si="2"/>
        <v>6.4999999999999982</v>
      </c>
      <c r="G28" s="22">
        <f t="shared" si="3"/>
        <v>180.38</v>
      </c>
      <c r="I28">
        <f t="shared" si="0"/>
        <v>180.37499999999994</v>
      </c>
      <c r="K28" s="26" t="s">
        <v>15</v>
      </c>
      <c r="L28" t="s">
        <v>41</v>
      </c>
    </row>
    <row r="29" spans="1:12" x14ac:dyDescent="0.25">
      <c r="A29" s="17">
        <v>42473</v>
      </c>
      <c r="B29" s="11" t="s">
        <v>14</v>
      </c>
      <c r="C29" s="12">
        <v>0.33333333333333331</v>
      </c>
      <c r="D29" s="12">
        <v>0.6333333333333333</v>
      </c>
      <c r="E29" s="14">
        <f t="shared" si="1"/>
        <v>24</v>
      </c>
      <c r="F29" s="21">
        <f t="shared" si="2"/>
        <v>7.1999999999999993</v>
      </c>
      <c r="G29" s="22">
        <f t="shared" si="3"/>
        <v>172.8</v>
      </c>
      <c r="I29">
        <f t="shared" si="0"/>
        <v>172.79999999999998</v>
      </c>
      <c r="K29" t="s">
        <v>11</v>
      </c>
      <c r="L29" s="27">
        <v>924.3</v>
      </c>
    </row>
    <row r="30" spans="1:12" x14ac:dyDescent="0.25">
      <c r="A30" s="17">
        <v>42474</v>
      </c>
      <c r="B30" s="11" t="s">
        <v>8</v>
      </c>
      <c r="C30" s="12">
        <v>0.3125</v>
      </c>
      <c r="D30" s="12">
        <v>0.56666666666666665</v>
      </c>
      <c r="E30" s="14">
        <f t="shared" si="1"/>
        <v>26.95</v>
      </c>
      <c r="F30" s="21">
        <f t="shared" si="2"/>
        <v>6.1</v>
      </c>
      <c r="G30" s="22">
        <f t="shared" si="3"/>
        <v>164.4</v>
      </c>
      <c r="I30">
        <f t="shared" si="0"/>
        <v>164.39499999999998</v>
      </c>
      <c r="K30" t="s">
        <v>12</v>
      </c>
      <c r="L30" s="27">
        <v>1446</v>
      </c>
    </row>
    <row r="31" spans="1:12" x14ac:dyDescent="0.25">
      <c r="A31" s="17">
        <v>42474</v>
      </c>
      <c r="B31" s="11" t="s">
        <v>9</v>
      </c>
      <c r="C31" s="12">
        <v>0.375</v>
      </c>
      <c r="D31" s="12">
        <v>0.66249999999999998</v>
      </c>
      <c r="E31" s="14">
        <f t="shared" si="1"/>
        <v>32.5</v>
      </c>
      <c r="F31" s="21">
        <f t="shared" si="2"/>
        <v>6.8999999999999995</v>
      </c>
      <c r="G31" s="22">
        <f t="shared" si="3"/>
        <v>224.25</v>
      </c>
      <c r="I31">
        <f t="shared" si="0"/>
        <v>224.24999999999997</v>
      </c>
      <c r="K31" t="s">
        <v>9</v>
      </c>
      <c r="L31" s="27">
        <v>1589.25</v>
      </c>
    </row>
    <row r="32" spans="1:12" x14ac:dyDescent="0.25">
      <c r="A32" s="17">
        <v>42474</v>
      </c>
      <c r="B32" s="11" t="s">
        <v>10</v>
      </c>
      <c r="C32" s="12">
        <v>0.33333333333333331</v>
      </c>
      <c r="D32" s="12">
        <v>0.61250000000000004</v>
      </c>
      <c r="E32" s="14">
        <f t="shared" si="1"/>
        <v>36.5</v>
      </c>
      <c r="F32" s="21">
        <f t="shared" si="2"/>
        <v>6.7000000000000011</v>
      </c>
      <c r="G32" s="22">
        <f t="shared" si="3"/>
        <v>244.55</v>
      </c>
      <c r="I32">
        <f t="shared" si="0"/>
        <v>244.55000000000004</v>
      </c>
      <c r="K32" t="s">
        <v>10</v>
      </c>
      <c r="L32" s="27">
        <v>1832.3</v>
      </c>
    </row>
    <row r="33" spans="1:12" x14ac:dyDescent="0.25">
      <c r="A33" s="17">
        <v>42474</v>
      </c>
      <c r="B33" s="11" t="s">
        <v>11</v>
      </c>
      <c r="C33" s="12">
        <v>0.375</v>
      </c>
      <c r="D33" s="12">
        <v>0.70416666666666661</v>
      </c>
      <c r="E33" s="14">
        <f t="shared" si="1"/>
        <v>19.5</v>
      </c>
      <c r="F33" s="21">
        <f t="shared" si="2"/>
        <v>7.8999999999999986</v>
      </c>
      <c r="G33" s="22">
        <f t="shared" si="3"/>
        <v>154.05000000000001</v>
      </c>
      <c r="I33">
        <f t="shared" si="0"/>
        <v>154.04999999999998</v>
      </c>
      <c r="K33" t="s">
        <v>14</v>
      </c>
      <c r="L33" s="27">
        <v>1154.4000000000001</v>
      </c>
    </row>
    <row r="34" spans="1:12" x14ac:dyDescent="0.25">
      <c r="A34" s="17">
        <v>42474</v>
      </c>
      <c r="B34" s="11" t="s">
        <v>12</v>
      </c>
      <c r="C34" s="12">
        <v>0.375</v>
      </c>
      <c r="D34" s="12">
        <v>0.6791666666666667</v>
      </c>
      <c r="E34" s="14">
        <f t="shared" si="1"/>
        <v>30</v>
      </c>
      <c r="F34" s="21">
        <f t="shared" si="2"/>
        <v>7.3000000000000007</v>
      </c>
      <c r="G34" s="22">
        <f t="shared" si="3"/>
        <v>219</v>
      </c>
      <c r="I34">
        <f t="shared" si="0"/>
        <v>219.00000000000003</v>
      </c>
      <c r="K34" t="s">
        <v>13</v>
      </c>
      <c r="L34" s="27">
        <v>1309.82</v>
      </c>
    </row>
    <row r="35" spans="1:12" x14ac:dyDescent="0.25">
      <c r="A35" s="17">
        <v>42474</v>
      </c>
      <c r="B35" s="11" t="s">
        <v>13</v>
      </c>
      <c r="C35" s="12">
        <v>0.375</v>
      </c>
      <c r="D35" s="12">
        <v>0.62916666666666665</v>
      </c>
      <c r="E35" s="14">
        <f t="shared" si="1"/>
        <v>27.75</v>
      </c>
      <c r="F35" s="21">
        <f t="shared" si="2"/>
        <v>6.1</v>
      </c>
      <c r="G35" s="22">
        <f t="shared" si="3"/>
        <v>169.28</v>
      </c>
      <c r="I35">
        <f t="shared" si="0"/>
        <v>169.27499999999998</v>
      </c>
      <c r="K35" t="s">
        <v>8</v>
      </c>
      <c r="L35" s="27">
        <v>1331.35</v>
      </c>
    </row>
    <row r="36" spans="1:12" x14ac:dyDescent="0.25">
      <c r="A36" s="17">
        <v>42474</v>
      </c>
      <c r="B36" s="11" t="s">
        <v>14</v>
      </c>
      <c r="C36" s="12">
        <v>0.3125</v>
      </c>
      <c r="D36" s="12">
        <v>0.58750000000000002</v>
      </c>
      <c r="E36" s="14">
        <f t="shared" si="1"/>
        <v>24</v>
      </c>
      <c r="F36" s="21">
        <f t="shared" si="2"/>
        <v>6.6000000000000005</v>
      </c>
      <c r="G36" s="22">
        <f t="shared" si="3"/>
        <v>158.4</v>
      </c>
      <c r="I36">
        <f t="shared" si="0"/>
        <v>158.4</v>
      </c>
      <c r="K36" t="s">
        <v>40</v>
      </c>
      <c r="L36" s="27">
        <v>9587.42</v>
      </c>
    </row>
    <row r="37" spans="1:12" x14ac:dyDescent="0.25">
      <c r="A37" s="17">
        <v>42475</v>
      </c>
      <c r="B37" s="11" t="s">
        <v>8</v>
      </c>
      <c r="C37" s="12">
        <v>0.3125</v>
      </c>
      <c r="D37" s="12">
        <v>0.57499999999999996</v>
      </c>
      <c r="E37" s="14">
        <f t="shared" si="1"/>
        <v>26.95</v>
      </c>
      <c r="F37" s="21">
        <f t="shared" si="2"/>
        <v>6.2999999999999989</v>
      </c>
      <c r="G37" s="22">
        <f t="shared" si="3"/>
        <v>169.79</v>
      </c>
      <c r="I37">
        <f t="shared" si="0"/>
        <v>169.78499999999997</v>
      </c>
    </row>
    <row r="38" spans="1:12" x14ac:dyDescent="0.25">
      <c r="A38" s="17">
        <v>42475</v>
      </c>
      <c r="B38" s="11" t="s">
        <v>9</v>
      </c>
      <c r="C38" s="12">
        <v>0.3125</v>
      </c>
      <c r="D38" s="12">
        <v>0.56666666666666665</v>
      </c>
      <c r="E38" s="14">
        <f t="shared" si="1"/>
        <v>32.5</v>
      </c>
      <c r="F38" s="21">
        <f t="shared" si="2"/>
        <v>6.1</v>
      </c>
      <c r="G38" s="22">
        <f t="shared" si="3"/>
        <v>198.25</v>
      </c>
      <c r="I38">
        <f t="shared" si="0"/>
        <v>198.25</v>
      </c>
    </row>
    <row r="39" spans="1:12" x14ac:dyDescent="0.25">
      <c r="A39" s="17">
        <v>42475</v>
      </c>
      <c r="B39" s="11" t="s">
        <v>10</v>
      </c>
      <c r="C39" s="12">
        <v>0.375</v>
      </c>
      <c r="D39" s="12">
        <v>0.69166666666666665</v>
      </c>
      <c r="E39" s="14">
        <f t="shared" si="1"/>
        <v>36.5</v>
      </c>
      <c r="F39" s="21">
        <f t="shared" si="2"/>
        <v>7.6</v>
      </c>
      <c r="G39" s="22">
        <f t="shared" si="3"/>
        <v>277.39999999999998</v>
      </c>
      <c r="I39">
        <f t="shared" si="0"/>
        <v>277.39999999999998</v>
      </c>
    </row>
    <row r="40" spans="1:12" x14ac:dyDescent="0.25">
      <c r="A40" s="17">
        <v>42475</v>
      </c>
      <c r="B40" s="11" t="s">
        <v>11</v>
      </c>
      <c r="C40" s="12">
        <v>0.375</v>
      </c>
      <c r="D40" s="12">
        <v>0.6333333333333333</v>
      </c>
      <c r="E40" s="14">
        <f t="shared" si="1"/>
        <v>19.5</v>
      </c>
      <c r="F40" s="21">
        <f t="shared" si="2"/>
        <v>6.1999999999999993</v>
      </c>
      <c r="G40" s="22">
        <f t="shared" si="3"/>
        <v>120.9</v>
      </c>
      <c r="I40">
        <f t="shared" si="0"/>
        <v>120.89999999999999</v>
      </c>
    </row>
    <row r="41" spans="1:12" x14ac:dyDescent="0.25">
      <c r="A41" s="17">
        <v>42475</v>
      </c>
      <c r="B41" s="11" t="s">
        <v>12</v>
      </c>
      <c r="C41" s="12">
        <v>0.375</v>
      </c>
      <c r="D41" s="12">
        <v>0.62916666666666665</v>
      </c>
      <c r="E41" s="14">
        <f t="shared" si="1"/>
        <v>30</v>
      </c>
      <c r="F41" s="21">
        <f t="shared" si="2"/>
        <v>6.1</v>
      </c>
      <c r="G41" s="22">
        <f t="shared" si="3"/>
        <v>183</v>
      </c>
      <c r="I41">
        <f t="shared" ref="I41:I57" si="5">F41*E41</f>
        <v>183</v>
      </c>
    </row>
    <row r="42" spans="1:12" x14ac:dyDescent="0.25">
      <c r="A42" s="17">
        <v>42475</v>
      </c>
      <c r="B42" s="11" t="s">
        <v>13</v>
      </c>
      <c r="C42" s="12">
        <v>0.375</v>
      </c>
      <c r="D42" s="12">
        <v>0.70416666666666661</v>
      </c>
      <c r="E42" s="14">
        <f t="shared" si="1"/>
        <v>27.75</v>
      </c>
      <c r="F42" s="21">
        <f t="shared" si="2"/>
        <v>7.8999999999999986</v>
      </c>
      <c r="G42" s="22">
        <f t="shared" si="3"/>
        <v>219.23</v>
      </c>
      <c r="I42">
        <f t="shared" si="5"/>
        <v>219.22499999999997</v>
      </c>
    </row>
    <row r="43" spans="1:12" x14ac:dyDescent="0.25">
      <c r="A43" s="17">
        <v>42475</v>
      </c>
      <c r="B43" s="11" t="s">
        <v>14</v>
      </c>
      <c r="C43" s="12">
        <v>0.33333333333333331</v>
      </c>
      <c r="D43" s="12">
        <v>0.65416666666666667</v>
      </c>
      <c r="E43" s="14">
        <f t="shared" si="1"/>
        <v>24</v>
      </c>
      <c r="F43" s="21">
        <f t="shared" si="2"/>
        <v>7.7000000000000011</v>
      </c>
      <c r="G43" s="22">
        <f t="shared" si="3"/>
        <v>184.8</v>
      </c>
      <c r="I43">
        <f t="shared" si="5"/>
        <v>184.8</v>
      </c>
    </row>
    <row r="44" spans="1:12" x14ac:dyDescent="0.25">
      <c r="A44" s="17">
        <v>42478</v>
      </c>
      <c r="B44" s="11" t="s">
        <v>8</v>
      </c>
      <c r="C44" s="12">
        <v>0.375</v>
      </c>
      <c r="D44" s="12">
        <v>0.7</v>
      </c>
      <c r="E44" s="14">
        <f t="shared" si="1"/>
        <v>26.95</v>
      </c>
      <c r="F44" s="21">
        <f t="shared" si="2"/>
        <v>7.7999999999999989</v>
      </c>
      <c r="G44" s="22">
        <f t="shared" si="3"/>
        <v>210.21</v>
      </c>
      <c r="I44">
        <f t="shared" si="5"/>
        <v>210.20999999999998</v>
      </c>
    </row>
    <row r="45" spans="1:12" x14ac:dyDescent="0.25">
      <c r="A45" s="17">
        <v>42478</v>
      </c>
      <c r="B45" s="11" t="s">
        <v>9</v>
      </c>
      <c r="C45" s="12">
        <v>0.375</v>
      </c>
      <c r="D45" s="12">
        <v>0.65833333333333333</v>
      </c>
      <c r="E45" s="14">
        <f t="shared" si="1"/>
        <v>32.5</v>
      </c>
      <c r="F45" s="21">
        <f t="shared" si="2"/>
        <v>6.8</v>
      </c>
      <c r="G45" s="22">
        <f t="shared" si="3"/>
        <v>221</v>
      </c>
      <c r="I45">
        <f t="shared" si="5"/>
        <v>221</v>
      </c>
    </row>
    <row r="46" spans="1:12" x14ac:dyDescent="0.25">
      <c r="A46" s="17">
        <v>42478</v>
      </c>
      <c r="B46" s="11" t="s">
        <v>10</v>
      </c>
      <c r="C46" s="12">
        <v>0.375</v>
      </c>
      <c r="D46" s="12">
        <v>0.66249999999999998</v>
      </c>
      <c r="E46" s="14">
        <f t="shared" si="1"/>
        <v>36.5</v>
      </c>
      <c r="F46" s="21">
        <f t="shared" si="2"/>
        <v>6.8999999999999995</v>
      </c>
      <c r="G46" s="22">
        <f t="shared" si="3"/>
        <v>251.85</v>
      </c>
      <c r="I46">
        <f t="shared" si="5"/>
        <v>251.85</v>
      </c>
    </row>
    <row r="47" spans="1:12" x14ac:dyDescent="0.25">
      <c r="A47" s="17">
        <v>42478</v>
      </c>
      <c r="B47" s="11" t="s">
        <v>11</v>
      </c>
      <c r="C47" s="12">
        <v>0.3125</v>
      </c>
      <c r="D47" s="12">
        <v>0.58333333333333326</v>
      </c>
      <c r="E47" s="14">
        <f t="shared" si="1"/>
        <v>19.5</v>
      </c>
      <c r="F47" s="21">
        <f t="shared" si="2"/>
        <v>6.4999999999999982</v>
      </c>
      <c r="G47" s="22">
        <f t="shared" si="3"/>
        <v>126.75</v>
      </c>
      <c r="I47">
        <f t="shared" si="5"/>
        <v>126.74999999999997</v>
      </c>
    </row>
    <row r="48" spans="1:12" x14ac:dyDescent="0.25">
      <c r="A48" s="17">
        <v>42478</v>
      </c>
      <c r="B48" s="11" t="s">
        <v>12</v>
      </c>
      <c r="C48" s="12">
        <v>0.3125</v>
      </c>
      <c r="D48" s="12">
        <v>0.59166666666666667</v>
      </c>
      <c r="E48" s="14">
        <f t="shared" si="1"/>
        <v>30</v>
      </c>
      <c r="F48" s="21">
        <f t="shared" si="2"/>
        <v>6.7</v>
      </c>
      <c r="G48" s="22">
        <f t="shared" si="3"/>
        <v>201</v>
      </c>
      <c r="I48">
        <f t="shared" si="5"/>
        <v>201</v>
      </c>
    </row>
    <row r="49" spans="1:10" x14ac:dyDescent="0.25">
      <c r="A49" s="17">
        <v>42478</v>
      </c>
      <c r="B49" s="11" t="s">
        <v>13</v>
      </c>
      <c r="C49" s="12">
        <v>0.33333333333333331</v>
      </c>
      <c r="D49" s="12">
        <v>0.58333333333333326</v>
      </c>
      <c r="E49" s="14">
        <f t="shared" si="1"/>
        <v>27.75</v>
      </c>
      <c r="F49" s="21">
        <f t="shared" si="2"/>
        <v>5.9999999999999982</v>
      </c>
      <c r="G49" s="22">
        <f t="shared" si="3"/>
        <v>166.5</v>
      </c>
      <c r="I49">
        <f t="shared" si="5"/>
        <v>166.49999999999994</v>
      </c>
    </row>
    <row r="50" spans="1:10" x14ac:dyDescent="0.25">
      <c r="A50" s="17">
        <v>42478</v>
      </c>
      <c r="B50" s="11" t="s">
        <v>14</v>
      </c>
      <c r="C50" s="12">
        <v>0.375</v>
      </c>
      <c r="D50" s="12">
        <v>0.625</v>
      </c>
      <c r="E50" s="14">
        <f t="shared" si="1"/>
        <v>24</v>
      </c>
      <c r="F50" s="21">
        <f t="shared" si="2"/>
        <v>6</v>
      </c>
      <c r="G50" s="22">
        <f t="shared" si="3"/>
        <v>144</v>
      </c>
      <c r="I50">
        <f t="shared" si="5"/>
        <v>144</v>
      </c>
    </row>
    <row r="51" spans="1:10" x14ac:dyDescent="0.25">
      <c r="A51" s="17">
        <v>42479</v>
      </c>
      <c r="B51" s="11" t="s">
        <v>8</v>
      </c>
      <c r="C51" s="12">
        <v>0.375</v>
      </c>
      <c r="D51" s="12">
        <v>0.6875</v>
      </c>
      <c r="E51" s="14">
        <f t="shared" si="1"/>
        <v>26.95</v>
      </c>
      <c r="F51" s="21">
        <f t="shared" si="2"/>
        <v>7.5</v>
      </c>
      <c r="G51" s="22">
        <f t="shared" si="3"/>
        <v>202.13</v>
      </c>
      <c r="I51">
        <f t="shared" si="5"/>
        <v>202.125</v>
      </c>
    </row>
    <row r="52" spans="1:10" x14ac:dyDescent="0.25">
      <c r="A52" s="17">
        <v>42479</v>
      </c>
      <c r="B52" s="11" t="s">
        <v>9</v>
      </c>
      <c r="C52" s="12">
        <v>0.33333333333333331</v>
      </c>
      <c r="D52" s="12">
        <v>0.64999999999999991</v>
      </c>
      <c r="E52" s="14">
        <f t="shared" si="1"/>
        <v>32.5</v>
      </c>
      <c r="F52" s="21">
        <f t="shared" si="2"/>
        <v>7.5999999999999979</v>
      </c>
      <c r="G52" s="22">
        <f t="shared" si="3"/>
        <v>247</v>
      </c>
      <c r="I52">
        <f t="shared" si="5"/>
        <v>246.99999999999994</v>
      </c>
    </row>
    <row r="53" spans="1:10" x14ac:dyDescent="0.25">
      <c r="A53" s="17">
        <v>42479</v>
      </c>
      <c r="B53" s="11" t="s">
        <v>10</v>
      </c>
      <c r="C53" s="12">
        <v>0.33333333333333331</v>
      </c>
      <c r="D53" s="12">
        <v>0.63750000000000007</v>
      </c>
      <c r="E53" s="14">
        <f t="shared" si="1"/>
        <v>36.5</v>
      </c>
      <c r="F53" s="21">
        <f t="shared" si="2"/>
        <v>7.3000000000000025</v>
      </c>
      <c r="G53" s="22">
        <f t="shared" si="3"/>
        <v>266.45</v>
      </c>
      <c r="I53">
        <f t="shared" si="5"/>
        <v>266.4500000000001</v>
      </c>
    </row>
    <row r="54" spans="1:10" x14ac:dyDescent="0.25">
      <c r="A54" s="17">
        <v>42479</v>
      </c>
      <c r="B54" s="11" t="s">
        <v>11</v>
      </c>
      <c r="C54" s="12">
        <v>0.375</v>
      </c>
      <c r="D54" s="12">
        <v>0.64166666666666661</v>
      </c>
      <c r="E54" s="14">
        <f t="shared" si="1"/>
        <v>19.5</v>
      </c>
      <c r="F54" s="21">
        <f t="shared" si="2"/>
        <v>6.3999999999999986</v>
      </c>
      <c r="G54" s="22">
        <f t="shared" si="3"/>
        <v>124.8</v>
      </c>
      <c r="I54">
        <f t="shared" si="5"/>
        <v>124.79999999999997</v>
      </c>
    </row>
    <row r="55" spans="1:10" x14ac:dyDescent="0.25">
      <c r="A55" s="17">
        <v>42479</v>
      </c>
      <c r="B55" s="11" t="s">
        <v>12</v>
      </c>
      <c r="C55" s="12">
        <v>0.33333333333333331</v>
      </c>
      <c r="D55" s="12">
        <v>0.6</v>
      </c>
      <c r="E55" s="14">
        <f t="shared" si="1"/>
        <v>30</v>
      </c>
      <c r="F55" s="21">
        <f t="shared" si="2"/>
        <v>6.4</v>
      </c>
      <c r="G55" s="22">
        <f t="shared" si="3"/>
        <v>192</v>
      </c>
      <c r="I55">
        <f t="shared" si="5"/>
        <v>192</v>
      </c>
    </row>
    <row r="56" spans="1:10" x14ac:dyDescent="0.25">
      <c r="A56" s="17">
        <v>42479</v>
      </c>
      <c r="B56" s="11" t="s">
        <v>13</v>
      </c>
      <c r="C56" s="12">
        <v>0.33333333333333331</v>
      </c>
      <c r="D56" s="12">
        <v>0.59583333333333333</v>
      </c>
      <c r="E56" s="14">
        <f t="shared" si="1"/>
        <v>27.75</v>
      </c>
      <c r="F56" s="21">
        <f t="shared" si="2"/>
        <v>6.3000000000000007</v>
      </c>
      <c r="G56" s="22">
        <f t="shared" si="3"/>
        <v>174.83</v>
      </c>
      <c r="I56">
        <f t="shared" si="5"/>
        <v>174.82500000000002</v>
      </c>
    </row>
    <row r="57" spans="1:10" x14ac:dyDescent="0.25">
      <c r="A57" s="17">
        <v>42479</v>
      </c>
      <c r="B57" s="11" t="s">
        <v>14</v>
      </c>
      <c r="C57" s="12">
        <v>0.375</v>
      </c>
      <c r="D57" s="12">
        <v>0.65</v>
      </c>
      <c r="E57" s="14">
        <f t="shared" si="1"/>
        <v>24</v>
      </c>
      <c r="F57" s="21">
        <f t="shared" si="2"/>
        <v>6.6000000000000005</v>
      </c>
      <c r="G57" s="22">
        <f t="shared" si="3"/>
        <v>158.4</v>
      </c>
      <c r="I57">
        <f t="shared" si="5"/>
        <v>158.4</v>
      </c>
    </row>
    <row r="58" spans="1:10" ht="15.75" thickBot="1" x14ac:dyDescent="0.3"/>
    <row r="59" spans="1:10" ht="15.75" thickBot="1" x14ac:dyDescent="0.3">
      <c r="F59" s="20" t="s">
        <v>31</v>
      </c>
      <c r="G59" s="23">
        <f>SUM(G9:G57)</f>
        <v>9587.4199999999964</v>
      </c>
      <c r="I59" s="19">
        <f>SUM(I9:I57)</f>
        <v>9587.3799999999992</v>
      </c>
      <c r="J59" s="19" t="s">
        <v>30</v>
      </c>
    </row>
    <row r="60" spans="1:10" ht="15.75" thickTop="1" x14ac:dyDescent="0.25"/>
  </sheetData>
  <pageMargins left="0.7" right="0.7" top="0.75" bottom="0.75" header="0.3" footer="0.3"/>
  <pageSetup orientation="landscape" r:id="rId2"/>
  <headerFooter>
    <oddFooter>&amp;LPayroll Printout&amp;CPage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F78170-315E-4EA1-A786-1FA7A93240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GrossPayPV</vt:lpstr>
      <vt:lpstr>Project(1)</vt:lpstr>
      <vt:lpstr>'Project(1)'!Print_Area</vt:lpstr>
      <vt:lpstr>'Project(1an)'!Print_Area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Ngoc Dinh</cp:lastModifiedBy>
  <dcterms:created xsi:type="dcterms:W3CDTF">2016-04-10T21:17:50Z</dcterms:created>
  <dcterms:modified xsi:type="dcterms:W3CDTF">2018-09-19T15:26:31Z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792cc93e-7ac4-42c8-a34a-feb742594764</vt:lpwstr>
  </property>
</Properties>
</file>