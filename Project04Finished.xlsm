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ht\Downloads\"/>
    </mc:Choice>
  </mc:AlternateContent>
  <xr:revisionPtr revIDLastSave="0" documentId="13_ncr:1_{18274C44-FE9D-4A19-B576-A3CA4C5E4601}" xr6:coauthVersionLast="37" xr6:coauthVersionMax="37" xr10:uidLastSave="{00000000-0000-0000-0000-000000000000}"/>
  <bookViews>
    <workbookView xWindow="0" yWindow="0" windowWidth="24000" windowHeight="8685" firstSheet="1" activeTab="1" xr2:uid="{00000000-000D-0000-FFFF-FFFF00000000}"/>
  </bookViews>
  <sheets>
    <sheet name="Score" sheetId="3" state="veryHidden" r:id="rId1"/>
    <sheet name="P(1)" sheetId="1" r:id="rId2"/>
    <sheet name="P(1an)" sheetId="2" state="veryHidden" r:id="rId3"/>
  </sheets>
  <externalReferences>
    <externalReference r:id="rId4"/>
  </externalReferences>
  <definedNames>
    <definedName name="AnswerProductTable">'[1]V Exact (an)'!$A$12:$D$19</definedName>
    <definedName name="_xlnm.Print_Area" localSheetId="1">'P(1)'!$A$1:$N$27</definedName>
    <definedName name="_xlnm.Print_Area" localSheetId="2">'P(1an)'!$A$1:$M$27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9" i="1" l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8" i="1"/>
  <c r="D5" i="3" l="1"/>
  <c r="C6" i="3"/>
  <c r="D4" i="3"/>
  <c r="D3" i="3"/>
  <c r="G13" i="2"/>
  <c r="H9" i="2"/>
  <c r="G10" i="2"/>
  <c r="E11" i="2"/>
  <c r="G11" i="2" s="1"/>
  <c r="E10" i="2"/>
  <c r="F10" i="2" s="1"/>
  <c r="E9" i="2"/>
  <c r="G9" i="2" s="1"/>
  <c r="E8" i="2"/>
  <c r="F8" i="2" s="1"/>
  <c r="E12" i="2"/>
  <c r="F12" i="2" s="1"/>
  <c r="E13" i="2"/>
  <c r="H13" i="2" s="1"/>
  <c r="F13" i="2"/>
  <c r="E14" i="2"/>
  <c r="F14" i="2" s="1"/>
  <c r="E15" i="2"/>
  <c r="F15" i="2" s="1"/>
  <c r="E16" i="2"/>
  <c r="F16" i="2" s="1"/>
  <c r="H10" i="2" l="1"/>
  <c r="H15" i="2"/>
  <c r="G15" i="2"/>
  <c r="G8" i="2"/>
  <c r="H11" i="2"/>
  <c r="H16" i="2"/>
  <c r="H14" i="2"/>
  <c r="H12" i="2"/>
  <c r="G16" i="2"/>
  <c r="G14" i="2"/>
  <c r="G12" i="2"/>
  <c r="D7" i="3"/>
  <c r="F9" i="2"/>
  <c r="H8" i="2"/>
  <c r="F11" i="2"/>
  <c r="E77" i="2" l="1"/>
  <c r="E76" i="2"/>
  <c r="E75" i="2"/>
  <c r="E74" i="2"/>
  <c r="E73" i="2"/>
  <c r="E72" i="2"/>
  <c r="E71" i="2"/>
  <c r="E70" i="2"/>
  <c r="E69" i="2"/>
  <c r="E68" i="2"/>
  <c r="E67" i="2"/>
  <c r="F66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G18" i="2" l="1"/>
  <c r="H18" i="2"/>
  <c r="G25" i="2"/>
  <c r="H25" i="2"/>
  <c r="G29" i="2"/>
  <c r="H29" i="2"/>
  <c r="F36" i="2"/>
  <c r="G36" i="2"/>
  <c r="H36" i="2"/>
  <c r="F44" i="2"/>
  <c r="G44" i="2"/>
  <c r="H44" i="2"/>
  <c r="F51" i="2"/>
  <c r="G51" i="2"/>
  <c r="H51" i="2"/>
  <c r="F59" i="2"/>
  <c r="G59" i="2"/>
  <c r="H59" i="2"/>
  <c r="F63" i="2"/>
  <c r="G63" i="2"/>
  <c r="H63" i="2"/>
  <c r="F70" i="2"/>
  <c r="G70" i="2"/>
  <c r="H70" i="2"/>
  <c r="F18" i="2"/>
  <c r="F22" i="2"/>
  <c r="G22" i="2"/>
  <c r="H22" i="2"/>
  <c r="F26" i="2"/>
  <c r="G26" i="2"/>
  <c r="H26" i="2"/>
  <c r="F30" i="2"/>
  <c r="G30" i="2"/>
  <c r="H30" i="2"/>
  <c r="G34" i="2"/>
  <c r="H34" i="2"/>
  <c r="G37" i="2"/>
  <c r="H37" i="2"/>
  <c r="G41" i="2"/>
  <c r="H41" i="2"/>
  <c r="G45" i="2"/>
  <c r="H45" i="2"/>
  <c r="G49" i="2"/>
  <c r="H49" i="2"/>
  <c r="F52" i="2"/>
  <c r="G52" i="2"/>
  <c r="H52" i="2"/>
  <c r="F56" i="2"/>
  <c r="G56" i="2"/>
  <c r="H56" i="2"/>
  <c r="F60" i="2"/>
  <c r="G60" i="2"/>
  <c r="H60" i="2"/>
  <c r="F64" i="2"/>
  <c r="G64" i="2"/>
  <c r="H64" i="2"/>
  <c r="F67" i="2"/>
  <c r="G67" i="2"/>
  <c r="H67" i="2"/>
  <c r="F71" i="2"/>
  <c r="G71" i="2"/>
  <c r="H71" i="2"/>
  <c r="F75" i="2"/>
  <c r="G75" i="2"/>
  <c r="H75" i="2"/>
  <c r="F19" i="2"/>
  <c r="G19" i="2"/>
  <c r="H19" i="2"/>
  <c r="F23" i="2"/>
  <c r="G23" i="2"/>
  <c r="H23" i="2"/>
  <c r="F27" i="2"/>
  <c r="G27" i="2"/>
  <c r="H27" i="2"/>
  <c r="F31" i="2"/>
  <c r="G31" i="2"/>
  <c r="H31" i="2"/>
  <c r="F34" i="2"/>
  <c r="F38" i="2"/>
  <c r="G38" i="2"/>
  <c r="H38" i="2"/>
  <c r="F42" i="2"/>
  <c r="G42" i="2"/>
  <c r="H42" i="2"/>
  <c r="F46" i="2"/>
  <c r="G46" i="2"/>
  <c r="H46" i="2"/>
  <c r="G50" i="2"/>
  <c r="H50" i="2"/>
  <c r="G53" i="2"/>
  <c r="H53" i="2"/>
  <c r="G57" i="2"/>
  <c r="H57" i="2"/>
  <c r="G61" i="2"/>
  <c r="H61" i="2"/>
  <c r="G65" i="2"/>
  <c r="H65" i="2"/>
  <c r="F68" i="2"/>
  <c r="G68" i="2"/>
  <c r="H68" i="2"/>
  <c r="F72" i="2"/>
  <c r="G72" i="2"/>
  <c r="H72" i="2"/>
  <c r="F76" i="2"/>
  <c r="G76" i="2"/>
  <c r="H76" i="2"/>
  <c r="F21" i="2"/>
  <c r="G21" i="2"/>
  <c r="H21" i="2"/>
  <c r="F33" i="2"/>
  <c r="G33" i="2"/>
  <c r="H33" i="2"/>
  <c r="F40" i="2"/>
  <c r="G40" i="2"/>
  <c r="H40" i="2"/>
  <c r="F48" i="2"/>
  <c r="G48" i="2"/>
  <c r="H48" i="2"/>
  <c r="F55" i="2"/>
  <c r="G55" i="2"/>
  <c r="H55" i="2"/>
  <c r="F74" i="2"/>
  <c r="G74" i="2"/>
  <c r="H74" i="2"/>
  <c r="F17" i="2"/>
  <c r="G17" i="2"/>
  <c r="H17" i="2"/>
  <c r="G20" i="2"/>
  <c r="H20" i="2"/>
  <c r="G24" i="2"/>
  <c r="H24" i="2"/>
  <c r="F28" i="2"/>
  <c r="G28" i="2"/>
  <c r="H28" i="2"/>
  <c r="F32" i="2"/>
  <c r="G32" i="2"/>
  <c r="H32" i="2"/>
  <c r="F35" i="2"/>
  <c r="G35" i="2"/>
  <c r="H35" i="2"/>
  <c r="F39" i="2"/>
  <c r="G39" i="2"/>
  <c r="H39" i="2"/>
  <c r="F43" i="2"/>
  <c r="G43" i="2"/>
  <c r="H43" i="2"/>
  <c r="F47" i="2"/>
  <c r="G47" i="2"/>
  <c r="H47" i="2"/>
  <c r="F50" i="2"/>
  <c r="F54" i="2"/>
  <c r="G54" i="2"/>
  <c r="H54" i="2"/>
  <c r="F58" i="2"/>
  <c r="G58" i="2"/>
  <c r="H58" i="2"/>
  <c r="F62" i="2"/>
  <c r="G62" i="2"/>
  <c r="H62" i="2"/>
  <c r="G66" i="2"/>
  <c r="H66" i="2"/>
  <c r="G69" i="2"/>
  <c r="H69" i="2"/>
  <c r="G73" i="2"/>
  <c r="H73" i="2"/>
  <c r="G77" i="2"/>
  <c r="H77" i="2"/>
  <c r="F29" i="2"/>
  <c r="F57" i="2"/>
  <c r="F61" i="2"/>
  <c r="F20" i="2"/>
  <c r="F24" i="2"/>
  <c r="F37" i="2"/>
  <c r="F41" i="2"/>
  <c r="F45" i="2"/>
  <c r="F53" i="2"/>
  <c r="F65" i="2"/>
  <c r="F77" i="2"/>
  <c r="F25" i="2"/>
  <c r="F49" i="2"/>
  <c r="F69" i="2"/>
  <c r="F73" i="2"/>
</calcChain>
</file>

<file path=xl/sharedStrings.xml><?xml version="1.0" encoding="utf-8"?>
<sst xmlns="http://schemas.openxmlformats.org/spreadsheetml/2006/main" count="48" uniqueCount="25">
  <si>
    <t>98108</t>
  </si>
  <si>
    <t>Total Shipping Charge</t>
  </si>
  <si>
    <t>Shipping Center</t>
  </si>
  <si>
    <t>Min Distance</t>
  </si>
  <si>
    <t>94612</t>
  </si>
  <si>
    <t>35203</t>
  </si>
  <si>
    <t>53203</t>
  </si>
  <si>
    <t>Shipping Center Source Zip Code with Miles from Shipping Center to Destination:</t>
  </si>
  <si>
    <t>Oakland, California</t>
  </si>
  <si>
    <t>Birmingham, Alabama</t>
  </si>
  <si>
    <t>Milwaukee, Wisconsin</t>
  </si>
  <si>
    <t>Seattle, Washington</t>
  </si>
  <si>
    <t>Minimum Charge</t>
  </si>
  <si>
    <t>Per Mile Shipping Charge</t>
  </si>
  <si>
    <t>For each customer, determine which Shipping Center has the shortest distance and then calculate the total shipping charge for each customer transaction.</t>
  </si>
  <si>
    <t>A Compressor Sales Company has four shipping centers. It delevers the compressors to customers by truck. The per mile shipping charge is $3.11 with a minimum charge of $75.</t>
  </si>
  <si>
    <t>Formula Inputs</t>
  </si>
  <si>
    <t>Formula Like:</t>
  </si>
  <si>
    <t xml:space="preserve"> =MIN(A8:D8)</t>
  </si>
  <si>
    <t xml:space="preserve"> =INDEX($A$4:$D$4,MATCH(E8,A8:D8,0))</t>
  </si>
  <si>
    <t>Points</t>
  </si>
  <si>
    <t>Your Points</t>
  </si>
  <si>
    <t xml:space="preserve"> =IF(E8*$J$8&lt;$J$9,$J$9,E8*$J$8) or
=MAX(E8*$L$8,$L$9)</t>
  </si>
  <si>
    <t>See sheet for example ==&gt;&gt;</t>
  </si>
  <si>
    <t>Your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</si>
</sst>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2" borderId="1" xfId="0" applyNumberFormat="1" applyFill="1" applyBorder="1"/>
    <xf numFmtId="0" fontId="0" fillId="2" borderId="1" xfId="0" applyFill="1" applyBorder="1"/>
    <xf numFmtId="0" fontId="0" fillId="0" borderId="1" xfId="0" applyBorder="1"/>
    <xf numFmtId="0" fontId="2" fillId="3" borderId="1" xfId="0" applyFont="1" applyFill="1" applyBorder="1" applyAlignment="1">
      <alignment wrapText="1"/>
    </xf>
    <xf numFmtId="0" fontId="1" fillId="0" borderId="1" xfId="0" quotePrefix="1" applyNumberFormat="1" applyFont="1" applyBorder="1"/>
    <xf numFmtId="0" fontId="3" fillId="0" borderId="0" xfId="0" applyFont="1"/>
    <xf numFmtId="164" fontId="0" fillId="0" borderId="1" xfId="0" applyNumberFormat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quotePrefix="1" applyFill="1" applyBorder="1"/>
    <xf numFmtId="0" fontId="2" fillId="5" borderId="5" xfId="0" applyFont="1" applyFill="1" applyBorder="1"/>
    <xf numFmtId="0" fontId="2" fillId="5" borderId="6" xfId="0" applyFont="1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2" fillId="3" borderId="1" xfId="0" applyFont="1" applyFill="1" applyBorder="1"/>
    <xf numFmtId="0" fontId="1" fillId="0" borderId="0" xfId="0" applyFont="1"/>
    <xf numFmtId="0" fontId="0" fillId="0" borderId="1" xfId="0" applyBorder="1" applyAlignment="1">
      <alignment wrapText="1"/>
    </xf>
  </cellXfs>
  <cellStyles count="1">
    <cellStyle name="Normal" xfId="0" builtinId="0"/>
  </cellStyles>
  <dxfs count="1">
    <dxf>
      <numFmt numFmtId="165" formatCode=";;;"/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00VideoExcelStorage\218\Content\Week05\FilesAndHandouts\11-Lookup\LookupStuf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pics"/>
      <sheetName val="Examples"/>
      <sheetName val="V Exact"/>
      <sheetName val="V Exact (an)"/>
      <sheetName val="V Aproximate"/>
      <sheetName val="V Aproximate (an)"/>
      <sheetName val="V Partial"/>
      <sheetName val="V Partial (an)"/>
      <sheetName val="Retrieve Record"/>
      <sheetName val="Retrieve Record (an)"/>
      <sheetName val="INDEX &amp; MATCH"/>
      <sheetName val="INDEX &amp; MATCH (an)"/>
      <sheetName val="Calcualte Revenue"/>
      <sheetName val="3 Tables"/>
      <sheetName val="3 Tables (an)"/>
      <sheetName val="V and IFNA"/>
      <sheetName val="V and IFNA (an)"/>
      <sheetName val="Stats"/>
      <sheetName val="Stats (an)"/>
      <sheetName val="GS"/>
      <sheetName val="GS (an)"/>
      <sheetName val="Is Item In List"/>
      <sheetName val="Is Item In List (an)"/>
      <sheetName val="IS Item Not In List"/>
      <sheetName val="IS Item Not In List (an)"/>
      <sheetName val="HW(1)"/>
      <sheetName val="HW(1an)"/>
      <sheetName val="HW(2)"/>
      <sheetName val="HW(2an)"/>
      <sheetName val="HW(3)"/>
      <sheetName val="HW(3an)"/>
      <sheetName val="HW(4)"/>
      <sheetName val="HW(4an)"/>
      <sheetName val="HW(5)"/>
      <sheetName val="HW(5an)"/>
      <sheetName val="HW(6)"/>
      <sheetName val="HW(6an)"/>
      <sheetName val="HW(7)"/>
      <sheetName val="HW(7an)"/>
      <sheetName val="HW(8)"/>
      <sheetName val="HW(8an)"/>
      <sheetName val="HW(9)"/>
      <sheetName val="HW(9an)"/>
      <sheetName val="HW(10)"/>
      <sheetName val="HW(10an)"/>
      <sheetName val="HW(11)"/>
      <sheetName val="HW(11an)"/>
      <sheetName val="HW(12)"/>
      <sheetName val="HW(12an)"/>
      <sheetName val="HW(13)"/>
      <sheetName val="HW(13an)"/>
    </sheetNames>
    <sheetDataSet>
      <sheetData sheetId="0" refreshError="1"/>
      <sheetData sheetId="1" refreshError="1"/>
      <sheetData sheetId="2" refreshError="1"/>
      <sheetData sheetId="3">
        <row r="12">
          <cell r="A12" t="str">
            <v>Bellen</v>
          </cell>
          <cell r="B12" t="str">
            <v>1000-165-B100</v>
          </cell>
          <cell r="C12">
            <v>25</v>
          </cell>
          <cell r="D12">
            <v>26.95</v>
          </cell>
        </row>
        <row r="13">
          <cell r="A13" t="str">
            <v>Carlota</v>
          </cell>
          <cell r="B13" t="str">
            <v>1001-540-C101</v>
          </cell>
          <cell r="C13">
            <v>20</v>
          </cell>
          <cell r="D13">
            <v>28.95</v>
          </cell>
        </row>
        <row r="14">
          <cell r="A14" t="str">
            <v>Majestic Beaut</v>
          </cell>
          <cell r="B14" t="str">
            <v>1002-394-M102</v>
          </cell>
          <cell r="C14">
            <v>35</v>
          </cell>
          <cell r="D14">
            <v>31.95</v>
          </cell>
        </row>
        <row r="15">
          <cell r="A15" t="str">
            <v>Quad</v>
          </cell>
          <cell r="B15" t="str">
            <v>1003-307-Q103</v>
          </cell>
          <cell r="C15">
            <v>20</v>
          </cell>
          <cell r="D15">
            <v>35.950000000000003</v>
          </cell>
        </row>
        <row r="16">
          <cell r="A16" t="str">
            <v>Sunshine</v>
          </cell>
          <cell r="B16" t="str">
            <v>1004-848-S104</v>
          </cell>
          <cell r="C16">
            <v>30</v>
          </cell>
          <cell r="D16">
            <v>18.95</v>
          </cell>
        </row>
        <row r="17">
          <cell r="A17" t="str">
            <v>Sunset</v>
          </cell>
          <cell r="B17" t="str">
            <v>1005-155-S105</v>
          </cell>
          <cell r="C17">
            <v>40</v>
          </cell>
          <cell r="D17">
            <v>20.95</v>
          </cell>
        </row>
        <row r="18">
          <cell r="A18" t="str">
            <v>Tri-Fly</v>
          </cell>
          <cell r="B18" t="str">
            <v>1006-552-T106</v>
          </cell>
          <cell r="C18">
            <v>1</v>
          </cell>
          <cell r="D18">
            <v>4.95</v>
          </cell>
        </row>
        <row r="19">
          <cell r="A19" t="str">
            <v>Outdoor Tri-Fly</v>
          </cell>
          <cell r="B19" t="str">
            <v>1007-634-O107</v>
          </cell>
          <cell r="C19">
            <v>5</v>
          </cell>
          <cell r="D19">
            <v>8.9499999999999993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2:E7"/>
  <sheetViews>
    <sheetView zoomScale="175" zoomScaleNormal="175" workbookViewId="0">
      <selection activeCell="B12" sqref="B12"/>
    </sheetView>
  </sheetViews>
  <sheetFormatPr defaultRowHeight="15" x14ac:dyDescent="0.25"/>
  <cols>
    <col min="1" max="1" width="22.5703125" customWidth="1"/>
    <col min="2" max="2" width="38" customWidth="1"/>
    <col min="3" max="3" width="10.28515625" bestFit="1" customWidth="1"/>
    <col min="4" max="4" width="11.85546875" customWidth="1"/>
  </cols>
  <sheetData>
    <row r="2" spans="1:5" x14ac:dyDescent="0.25">
      <c r="A2" s="3"/>
      <c r="B2" s="16" t="s">
        <v>17</v>
      </c>
      <c r="C2" s="16" t="s">
        <v>20</v>
      </c>
      <c r="D2" s="16" t="s">
        <v>21</v>
      </c>
    </row>
    <row r="3" spans="1:5" x14ac:dyDescent="0.25">
      <c r="A3" s="4" t="s">
        <v>3</v>
      </c>
      <c r="B3" s="3" t="s">
        <v>18</v>
      </c>
      <c r="C3" s="3">
        <v>5</v>
      </c>
      <c r="D3" s="3">
        <f t="shared" ref="D3:D4" si="0">C3</f>
        <v>5</v>
      </c>
      <c r="E3" t="s">
        <v>23</v>
      </c>
    </row>
    <row r="4" spans="1:5" x14ac:dyDescent="0.25">
      <c r="A4" s="4" t="s">
        <v>2</v>
      </c>
      <c r="B4" s="3" t="s">
        <v>19</v>
      </c>
      <c r="C4" s="3">
        <v>15</v>
      </c>
      <c r="D4" s="3">
        <f t="shared" si="0"/>
        <v>15</v>
      </c>
      <c r="E4" t="s">
        <v>23</v>
      </c>
    </row>
    <row r="5" spans="1:5" ht="30" x14ac:dyDescent="0.25">
      <c r="A5" s="4" t="s">
        <v>1</v>
      </c>
      <c r="B5" s="18" t="s">
        <v>22</v>
      </c>
      <c r="C5" s="3">
        <v>10</v>
      </c>
      <c r="D5" s="3">
        <f>C5</f>
        <v>10</v>
      </c>
      <c r="E5" t="s">
        <v>23</v>
      </c>
    </row>
    <row r="6" spans="1:5" x14ac:dyDescent="0.25">
      <c r="C6" s="17">
        <f>SUM(C3:C5)</f>
        <v>30</v>
      </c>
    </row>
    <row r="7" spans="1:5" x14ac:dyDescent="0.25">
      <c r="C7" t="s">
        <v>24</v>
      </c>
      <c r="D7" s="17">
        <f>SUM(D3:D6)</f>
        <v>30</v>
      </c>
    </row>
  </sheetData>
  <conditionalFormatting sqref="E3:E5">
    <cfRule type="expression" dxfId="0" priority="1">
      <formula>$C$3=$D$3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00FF"/>
    <pageSetUpPr fitToPage="1"/>
  </sheetPr>
  <dimension ref="A1:K77"/>
  <sheetViews>
    <sheetView tabSelected="1" zoomScale="85" zoomScaleNormal="85" workbookViewId="0">
      <selection activeCell="G13" sqref="G13"/>
    </sheetView>
  </sheetViews>
  <sheetFormatPr defaultRowHeight="15" x14ac:dyDescent="0.25"/>
  <cols>
    <col min="1" max="1" width="27.5703125" customWidth="1"/>
    <col min="2" max="2" width="21.42578125" customWidth="1"/>
    <col min="3" max="3" width="14.140625" customWidth="1"/>
    <col min="4" max="4" width="15.28515625" customWidth="1"/>
    <col min="5" max="5" width="17.85546875" customWidth="1"/>
    <col min="6" max="6" width="24.85546875" customWidth="1"/>
    <col min="7" max="8" width="17.85546875" customWidth="1"/>
    <col min="9" max="9" width="14.5703125" customWidth="1"/>
    <col min="10" max="10" width="26" customWidth="1"/>
    <col min="11" max="11" width="16.140625" customWidth="1"/>
    <col min="13" max="13" width="31.140625" customWidth="1"/>
    <col min="14" max="14" width="15.85546875" customWidth="1"/>
    <col min="17" max="17" width="11" customWidth="1"/>
  </cols>
  <sheetData>
    <row r="1" spans="1:11" x14ac:dyDescent="0.25">
      <c r="A1" s="15" t="s">
        <v>15</v>
      </c>
      <c r="B1" s="14"/>
      <c r="C1" s="14"/>
      <c r="D1" s="14"/>
      <c r="E1" s="14"/>
      <c r="F1" s="14"/>
      <c r="G1" s="14"/>
      <c r="H1" s="14"/>
      <c r="I1" s="14"/>
      <c r="J1" s="14"/>
      <c r="K1" s="13"/>
    </row>
    <row r="2" spans="1:11" x14ac:dyDescent="0.25">
      <c r="A2" s="10" t="s">
        <v>14</v>
      </c>
      <c r="B2" s="9"/>
      <c r="C2" s="9"/>
      <c r="D2" s="9"/>
      <c r="E2" s="9"/>
      <c r="F2" s="9"/>
      <c r="G2" s="9"/>
      <c r="H2" s="9"/>
      <c r="I2" s="9"/>
      <c r="J2" s="9"/>
      <c r="K2" s="8"/>
    </row>
    <row r="4" spans="1:11" ht="60" x14ac:dyDescent="0.25">
      <c r="A4" s="4" t="s">
        <v>11</v>
      </c>
      <c r="B4" s="4" t="s">
        <v>10</v>
      </c>
      <c r="C4" s="4" t="s">
        <v>9</v>
      </c>
      <c r="D4" s="4" t="s">
        <v>8</v>
      </c>
    </row>
    <row r="5" spans="1:11" x14ac:dyDescent="0.25">
      <c r="A5" s="6" t="s">
        <v>7</v>
      </c>
    </row>
    <row r="7" spans="1:11" ht="30" x14ac:dyDescent="0.25">
      <c r="A7" s="5" t="s">
        <v>0</v>
      </c>
      <c r="B7" s="5" t="s">
        <v>6</v>
      </c>
      <c r="C7" s="5" t="s">
        <v>5</v>
      </c>
      <c r="D7" s="5" t="s">
        <v>4</v>
      </c>
      <c r="E7" s="4" t="s">
        <v>3</v>
      </c>
      <c r="F7" s="4" t="s">
        <v>2</v>
      </c>
      <c r="G7" s="4" t="s">
        <v>1</v>
      </c>
      <c r="J7" s="12" t="s">
        <v>16</v>
      </c>
      <c r="K7" s="11"/>
    </row>
    <row r="8" spans="1:11" x14ac:dyDescent="0.25">
      <c r="A8" s="3">
        <v>1447</v>
      </c>
      <c r="B8" s="3">
        <v>1830</v>
      </c>
      <c r="C8" s="3">
        <v>1686</v>
      </c>
      <c r="D8" s="3">
        <v>766</v>
      </c>
      <c r="E8" s="2">
        <f>MIN(A8:D8)</f>
        <v>766</v>
      </c>
      <c r="F8" s="2" t="str">
        <f>INDEX($A$7:$D$7,MATCH(E8,A8:D8,0))</f>
        <v>94612</v>
      </c>
      <c r="G8" s="1">
        <f>E8*$K$9+(SUM(A8:D8)-E8)*$K$8</f>
        <v>72884.929999999993</v>
      </c>
      <c r="J8" s="3" t="s">
        <v>13</v>
      </c>
      <c r="K8" s="7">
        <v>3.11</v>
      </c>
    </row>
    <row r="9" spans="1:11" x14ac:dyDescent="0.25">
      <c r="A9" s="3">
        <v>1405</v>
      </c>
      <c r="B9" s="3">
        <v>1870</v>
      </c>
      <c r="C9" s="3">
        <v>1715</v>
      </c>
      <c r="D9" s="3">
        <v>744</v>
      </c>
      <c r="E9" s="2">
        <f t="shared" ref="E9:E72" si="0">MIN(A9:D9)</f>
        <v>744</v>
      </c>
      <c r="F9" s="2" t="str">
        <f t="shared" ref="F9:F72" si="1">INDEX($A$7:$D$7,MATCH(E9,A9:D9,0))</f>
        <v>94612</v>
      </c>
      <c r="G9" s="1">
        <f t="shared" ref="G9:G72" si="2">E9*$K$9+(SUM(A9:D9)-E9)*$K$8</f>
        <v>71318.899999999994</v>
      </c>
      <c r="J9" s="3" t="s">
        <v>12</v>
      </c>
      <c r="K9" s="7">
        <v>75</v>
      </c>
    </row>
    <row r="10" spans="1:11" x14ac:dyDescent="0.25">
      <c r="A10" s="3">
        <v>1440</v>
      </c>
      <c r="B10" s="3">
        <v>1816</v>
      </c>
      <c r="C10" s="3">
        <v>1702</v>
      </c>
      <c r="D10" s="3">
        <v>758</v>
      </c>
      <c r="E10" s="2">
        <f t="shared" si="0"/>
        <v>758</v>
      </c>
      <c r="F10" s="2" t="str">
        <f t="shared" si="1"/>
        <v>94612</v>
      </c>
      <c r="G10" s="1">
        <f t="shared" si="2"/>
        <v>72269.38</v>
      </c>
    </row>
    <row r="11" spans="1:11" x14ac:dyDescent="0.25">
      <c r="A11" s="3">
        <v>1435</v>
      </c>
      <c r="B11" s="3">
        <v>1818</v>
      </c>
      <c r="C11" s="3">
        <v>1706</v>
      </c>
      <c r="D11" s="3">
        <v>754</v>
      </c>
      <c r="E11" s="2">
        <f t="shared" si="0"/>
        <v>754</v>
      </c>
      <c r="F11" s="2" t="str">
        <f t="shared" si="1"/>
        <v>94612</v>
      </c>
      <c r="G11" s="1">
        <f t="shared" si="2"/>
        <v>71972.490000000005</v>
      </c>
    </row>
    <row r="12" spans="1:11" x14ac:dyDescent="0.25">
      <c r="A12" s="3">
        <v>2277</v>
      </c>
      <c r="B12" s="3">
        <v>743</v>
      </c>
      <c r="C12" s="3">
        <v>373</v>
      </c>
      <c r="D12" s="3">
        <v>1955</v>
      </c>
      <c r="E12" s="2">
        <f t="shared" si="0"/>
        <v>373</v>
      </c>
      <c r="F12" s="2" t="str">
        <f t="shared" si="1"/>
        <v>35203</v>
      </c>
      <c r="G12" s="1">
        <f t="shared" si="2"/>
        <v>43447.25</v>
      </c>
    </row>
    <row r="13" spans="1:11" x14ac:dyDescent="0.25">
      <c r="A13" s="3">
        <v>796</v>
      </c>
      <c r="B13" s="3">
        <v>2146</v>
      </c>
      <c r="C13" s="3">
        <v>2299</v>
      </c>
      <c r="D13" s="3">
        <v>36</v>
      </c>
      <c r="E13" s="2">
        <f t="shared" si="0"/>
        <v>36</v>
      </c>
      <c r="F13" s="2" t="str">
        <f t="shared" si="1"/>
        <v>94612</v>
      </c>
      <c r="G13" s="1">
        <f t="shared" si="2"/>
        <v>18999.510000000002</v>
      </c>
    </row>
    <row r="14" spans="1:11" x14ac:dyDescent="0.25">
      <c r="A14" s="3">
        <v>795</v>
      </c>
      <c r="B14" s="3">
        <v>2165</v>
      </c>
      <c r="C14" s="3">
        <v>2319</v>
      </c>
      <c r="D14" s="3">
        <v>4</v>
      </c>
      <c r="E14" s="2">
        <f t="shared" si="0"/>
        <v>4</v>
      </c>
      <c r="F14" s="2" t="str">
        <f t="shared" si="1"/>
        <v>94612</v>
      </c>
      <c r="G14" s="1">
        <f t="shared" si="2"/>
        <v>16717.689999999999</v>
      </c>
    </row>
    <row r="15" spans="1:11" x14ac:dyDescent="0.25">
      <c r="A15" s="3">
        <v>1258</v>
      </c>
      <c r="B15" s="3">
        <v>2124</v>
      </c>
      <c r="C15" s="3">
        <v>1996</v>
      </c>
      <c r="D15" s="3">
        <v>499</v>
      </c>
      <c r="E15" s="2">
        <f t="shared" si="0"/>
        <v>499</v>
      </c>
      <c r="F15" s="2" t="str">
        <f t="shared" si="1"/>
        <v>94612</v>
      </c>
      <c r="G15" s="1">
        <f t="shared" si="2"/>
        <v>54150.58</v>
      </c>
    </row>
    <row r="16" spans="1:11" x14ac:dyDescent="0.25">
      <c r="A16" s="3">
        <v>785</v>
      </c>
      <c r="B16" s="3">
        <v>2155</v>
      </c>
      <c r="C16" s="3">
        <v>2319</v>
      </c>
      <c r="D16" s="3">
        <v>25</v>
      </c>
      <c r="E16" s="2">
        <f t="shared" si="0"/>
        <v>25</v>
      </c>
      <c r="F16" s="2" t="str">
        <f t="shared" si="1"/>
        <v>94612</v>
      </c>
      <c r="G16" s="1">
        <f t="shared" si="2"/>
        <v>18230.489999999998</v>
      </c>
    </row>
    <row r="17" spans="1:7" x14ac:dyDescent="0.25">
      <c r="A17" s="3">
        <v>813</v>
      </c>
      <c r="B17" s="3">
        <v>2183</v>
      </c>
      <c r="C17" s="3">
        <v>2329</v>
      </c>
      <c r="D17" s="3">
        <v>21</v>
      </c>
      <c r="E17" s="2">
        <f t="shared" si="0"/>
        <v>21</v>
      </c>
      <c r="F17" s="2" t="str">
        <f t="shared" si="1"/>
        <v>94612</v>
      </c>
      <c r="G17" s="1">
        <f t="shared" si="2"/>
        <v>18135.75</v>
      </c>
    </row>
    <row r="18" spans="1:7" x14ac:dyDescent="0.25">
      <c r="A18" s="3">
        <v>759</v>
      </c>
      <c r="B18" s="3">
        <v>2129</v>
      </c>
      <c r="C18" s="3">
        <v>2339</v>
      </c>
      <c r="D18" s="3">
        <v>41</v>
      </c>
      <c r="E18" s="2">
        <f t="shared" si="0"/>
        <v>41</v>
      </c>
      <c r="F18" s="2" t="str">
        <f t="shared" si="1"/>
        <v>94612</v>
      </c>
      <c r="G18" s="1">
        <f t="shared" si="2"/>
        <v>19330.97</v>
      </c>
    </row>
    <row r="19" spans="1:7" x14ac:dyDescent="0.25">
      <c r="A19" s="3">
        <v>816</v>
      </c>
      <c r="B19" s="3">
        <v>2186</v>
      </c>
      <c r="C19" s="3">
        <v>2306</v>
      </c>
      <c r="D19" s="3">
        <v>20</v>
      </c>
      <c r="E19" s="2">
        <f t="shared" si="0"/>
        <v>20</v>
      </c>
      <c r="F19" s="2" t="str">
        <f t="shared" si="1"/>
        <v>94612</v>
      </c>
      <c r="G19" s="1">
        <f t="shared" si="2"/>
        <v>18007.88</v>
      </c>
    </row>
    <row r="20" spans="1:7" x14ac:dyDescent="0.25">
      <c r="A20" s="3">
        <v>1162</v>
      </c>
      <c r="B20" s="3">
        <v>2063</v>
      </c>
      <c r="C20" s="3">
        <v>2034</v>
      </c>
      <c r="D20" s="3">
        <v>404</v>
      </c>
      <c r="E20" s="2">
        <f t="shared" si="0"/>
        <v>404</v>
      </c>
      <c r="F20" s="2" t="str">
        <f t="shared" si="1"/>
        <v>94612</v>
      </c>
      <c r="G20" s="1">
        <f t="shared" si="2"/>
        <v>46655.49</v>
      </c>
    </row>
    <row r="21" spans="1:7" x14ac:dyDescent="0.25">
      <c r="A21" s="3">
        <v>1156</v>
      </c>
      <c r="B21" s="3">
        <v>2071</v>
      </c>
      <c r="C21" s="3">
        <v>2042</v>
      </c>
      <c r="D21" s="3">
        <v>398</v>
      </c>
      <c r="E21" s="2">
        <f t="shared" si="0"/>
        <v>398</v>
      </c>
      <c r="F21" s="2" t="str">
        <f t="shared" si="1"/>
        <v>94612</v>
      </c>
      <c r="G21" s="1">
        <f t="shared" si="2"/>
        <v>46236.59</v>
      </c>
    </row>
    <row r="22" spans="1:7" x14ac:dyDescent="0.25">
      <c r="A22" s="3">
        <v>822</v>
      </c>
      <c r="B22" s="3">
        <v>2158</v>
      </c>
      <c r="C22" s="3">
        <v>2248</v>
      </c>
      <c r="D22" s="3">
        <v>82</v>
      </c>
      <c r="E22" s="2">
        <f t="shared" si="0"/>
        <v>82</v>
      </c>
      <c r="F22" s="2" t="str">
        <f t="shared" si="1"/>
        <v>94612</v>
      </c>
      <c r="G22" s="1">
        <f t="shared" si="2"/>
        <v>22409.08</v>
      </c>
    </row>
    <row r="23" spans="1:7" x14ac:dyDescent="0.25">
      <c r="A23" s="3">
        <v>834</v>
      </c>
      <c r="B23" s="3">
        <v>2204</v>
      </c>
      <c r="C23" s="3">
        <v>2290</v>
      </c>
      <c r="D23" s="3">
        <v>44</v>
      </c>
      <c r="E23" s="2">
        <f t="shared" si="0"/>
        <v>44</v>
      </c>
      <c r="F23" s="2" t="str">
        <f t="shared" si="1"/>
        <v>94612</v>
      </c>
      <c r="G23" s="1">
        <f t="shared" si="2"/>
        <v>19870.079999999998</v>
      </c>
    </row>
    <row r="24" spans="1:7" x14ac:dyDescent="0.25">
      <c r="A24" s="3">
        <v>835</v>
      </c>
      <c r="B24" s="3">
        <v>2205</v>
      </c>
      <c r="C24" s="3">
        <v>2293</v>
      </c>
      <c r="D24" s="3">
        <v>44</v>
      </c>
      <c r="E24" s="2">
        <f t="shared" si="0"/>
        <v>44</v>
      </c>
      <c r="F24" s="2" t="str">
        <f t="shared" si="1"/>
        <v>94612</v>
      </c>
      <c r="G24" s="1">
        <f t="shared" si="2"/>
        <v>19885.63</v>
      </c>
    </row>
    <row r="25" spans="1:7" x14ac:dyDescent="0.25">
      <c r="A25" s="3">
        <v>1143</v>
      </c>
      <c r="B25" s="3">
        <v>2092</v>
      </c>
      <c r="C25" s="3">
        <v>2062</v>
      </c>
      <c r="D25" s="3">
        <v>385</v>
      </c>
      <c r="E25" s="2">
        <f t="shared" si="0"/>
        <v>385</v>
      </c>
      <c r="F25" s="2" t="str">
        <f t="shared" si="1"/>
        <v>94612</v>
      </c>
      <c r="G25" s="1">
        <f t="shared" si="2"/>
        <v>45348.67</v>
      </c>
    </row>
    <row r="26" spans="1:7" x14ac:dyDescent="0.25">
      <c r="A26" s="3">
        <v>773</v>
      </c>
      <c r="B26" s="3">
        <v>2143</v>
      </c>
      <c r="C26" s="3">
        <v>2328</v>
      </c>
      <c r="D26" s="3">
        <v>25</v>
      </c>
      <c r="E26" s="2">
        <f t="shared" si="0"/>
        <v>25</v>
      </c>
      <c r="F26" s="2" t="str">
        <f t="shared" si="1"/>
        <v>94612</v>
      </c>
      <c r="G26" s="1">
        <f t="shared" si="2"/>
        <v>18183.84</v>
      </c>
    </row>
    <row r="27" spans="1:7" x14ac:dyDescent="0.25">
      <c r="A27" s="3">
        <v>1332</v>
      </c>
      <c r="B27" s="3">
        <v>1045</v>
      </c>
      <c r="C27" s="3">
        <v>1318</v>
      </c>
      <c r="D27" s="3">
        <v>1260</v>
      </c>
      <c r="E27" s="2">
        <f t="shared" si="0"/>
        <v>1045</v>
      </c>
      <c r="F27" s="2" t="str">
        <f t="shared" si="1"/>
        <v>53203</v>
      </c>
      <c r="G27" s="1">
        <f t="shared" si="2"/>
        <v>90535.1</v>
      </c>
    </row>
    <row r="28" spans="1:7" x14ac:dyDescent="0.25">
      <c r="A28" s="3">
        <v>1388</v>
      </c>
      <c r="B28" s="3">
        <v>1114</v>
      </c>
      <c r="C28" s="3">
        <v>1312</v>
      </c>
      <c r="D28" s="3">
        <v>1316</v>
      </c>
      <c r="E28" s="2">
        <f t="shared" si="0"/>
        <v>1114</v>
      </c>
      <c r="F28" s="2" t="str">
        <f t="shared" si="1"/>
        <v>53203</v>
      </c>
      <c r="G28" s="1">
        <f t="shared" si="2"/>
        <v>96039.76</v>
      </c>
    </row>
    <row r="29" spans="1:7" x14ac:dyDescent="0.25">
      <c r="A29" s="3">
        <v>1318</v>
      </c>
      <c r="B29" s="3">
        <v>1043</v>
      </c>
      <c r="C29" s="3">
        <v>1328</v>
      </c>
      <c r="D29" s="3">
        <v>1246</v>
      </c>
      <c r="E29" s="2">
        <f t="shared" si="0"/>
        <v>1043</v>
      </c>
      <c r="F29" s="2" t="str">
        <f t="shared" si="1"/>
        <v>53203</v>
      </c>
      <c r="G29" s="1">
        <f t="shared" si="2"/>
        <v>90329.12</v>
      </c>
    </row>
    <row r="30" spans="1:7" x14ac:dyDescent="0.25">
      <c r="A30" s="3">
        <v>2067</v>
      </c>
      <c r="B30" s="3">
        <v>93</v>
      </c>
      <c r="C30" s="3">
        <v>663</v>
      </c>
      <c r="D30" s="3">
        <v>2124</v>
      </c>
      <c r="E30" s="2">
        <f t="shared" si="0"/>
        <v>93</v>
      </c>
      <c r="F30" s="2" t="str">
        <f t="shared" si="1"/>
        <v>53203</v>
      </c>
      <c r="G30" s="1">
        <f t="shared" si="2"/>
        <v>22070.94</v>
      </c>
    </row>
    <row r="31" spans="1:7" x14ac:dyDescent="0.25">
      <c r="A31" s="3">
        <v>2052</v>
      </c>
      <c r="B31" s="3">
        <v>126</v>
      </c>
      <c r="C31" s="3">
        <v>671</v>
      </c>
      <c r="D31" s="3">
        <v>2099</v>
      </c>
      <c r="E31" s="2">
        <f t="shared" si="0"/>
        <v>126</v>
      </c>
      <c r="F31" s="2" t="str">
        <f t="shared" si="1"/>
        <v>53203</v>
      </c>
      <c r="G31" s="1">
        <f t="shared" si="2"/>
        <v>24446.42</v>
      </c>
    </row>
    <row r="32" spans="1:7" x14ac:dyDescent="0.25">
      <c r="A32" s="3">
        <v>2254</v>
      </c>
      <c r="B32" s="3">
        <v>387</v>
      </c>
      <c r="C32" s="3">
        <v>343</v>
      </c>
      <c r="D32" s="3">
        <v>2214</v>
      </c>
      <c r="E32" s="2">
        <f t="shared" si="0"/>
        <v>343</v>
      </c>
      <c r="F32" s="2" t="str">
        <f t="shared" si="1"/>
        <v>35203</v>
      </c>
      <c r="G32" s="1">
        <f t="shared" si="2"/>
        <v>40824.050000000003</v>
      </c>
    </row>
    <row r="33" spans="1:7" x14ac:dyDescent="0.25">
      <c r="A33" s="3">
        <v>2233</v>
      </c>
      <c r="B33" s="3">
        <v>262</v>
      </c>
      <c r="C33" s="3">
        <v>597</v>
      </c>
      <c r="D33" s="3">
        <v>2269</v>
      </c>
      <c r="E33" s="2">
        <f t="shared" si="0"/>
        <v>262</v>
      </c>
      <c r="F33" s="2" t="str">
        <f t="shared" si="1"/>
        <v>53203</v>
      </c>
      <c r="G33" s="1">
        <f t="shared" si="2"/>
        <v>35507.89</v>
      </c>
    </row>
    <row r="34" spans="1:7" x14ac:dyDescent="0.25">
      <c r="A34" s="3">
        <v>1832</v>
      </c>
      <c r="B34" s="3">
        <v>244</v>
      </c>
      <c r="C34" s="3">
        <v>782</v>
      </c>
      <c r="D34" s="3">
        <v>1919</v>
      </c>
      <c r="E34" s="2">
        <f t="shared" si="0"/>
        <v>244</v>
      </c>
      <c r="F34" s="2" t="str">
        <f t="shared" si="1"/>
        <v>53203</v>
      </c>
      <c r="G34" s="1">
        <f t="shared" si="2"/>
        <v>32397.629999999997</v>
      </c>
    </row>
    <row r="35" spans="1:7" x14ac:dyDescent="0.25">
      <c r="A35" s="3">
        <v>1842</v>
      </c>
      <c r="B35" s="3">
        <v>576</v>
      </c>
      <c r="C35" s="3">
        <v>695</v>
      </c>
      <c r="D35" s="3">
        <v>1802</v>
      </c>
      <c r="E35" s="2">
        <f t="shared" si="0"/>
        <v>576</v>
      </c>
      <c r="F35" s="2" t="str">
        <f t="shared" si="1"/>
        <v>53203</v>
      </c>
      <c r="G35" s="1">
        <f t="shared" si="2"/>
        <v>56694.29</v>
      </c>
    </row>
    <row r="36" spans="1:7" x14ac:dyDescent="0.25">
      <c r="A36" s="3">
        <v>1848</v>
      </c>
      <c r="B36" s="3">
        <v>630</v>
      </c>
      <c r="C36" s="3">
        <v>748</v>
      </c>
      <c r="D36" s="3">
        <v>1776</v>
      </c>
      <c r="E36" s="2">
        <f t="shared" si="0"/>
        <v>630</v>
      </c>
      <c r="F36" s="2" t="str">
        <f t="shared" si="1"/>
        <v>53203</v>
      </c>
      <c r="G36" s="1">
        <f t="shared" si="2"/>
        <v>60846.92</v>
      </c>
    </row>
    <row r="37" spans="1:7" x14ac:dyDescent="0.25">
      <c r="A37" s="3">
        <v>2406</v>
      </c>
      <c r="B37" s="3">
        <v>468</v>
      </c>
      <c r="C37" s="3">
        <v>411</v>
      </c>
      <c r="D37" s="3">
        <v>2383</v>
      </c>
      <c r="E37" s="2">
        <f t="shared" si="0"/>
        <v>411</v>
      </c>
      <c r="F37" s="2" t="str">
        <f t="shared" si="1"/>
        <v>35203</v>
      </c>
      <c r="G37" s="1">
        <f t="shared" si="2"/>
        <v>47174.27</v>
      </c>
    </row>
    <row r="38" spans="1:7" x14ac:dyDescent="0.25">
      <c r="A38" s="3">
        <v>2340</v>
      </c>
      <c r="B38" s="3">
        <v>401</v>
      </c>
      <c r="C38" s="3">
        <v>363</v>
      </c>
      <c r="D38" s="3">
        <v>2317</v>
      </c>
      <c r="E38" s="2">
        <f t="shared" si="0"/>
        <v>363</v>
      </c>
      <c r="F38" s="2" t="str">
        <f t="shared" si="1"/>
        <v>35203</v>
      </c>
      <c r="G38" s="1">
        <f t="shared" si="2"/>
        <v>42955.38</v>
      </c>
    </row>
    <row r="39" spans="1:7" x14ac:dyDescent="0.25">
      <c r="A39" s="3">
        <v>2617</v>
      </c>
      <c r="B39" s="3">
        <v>1016</v>
      </c>
      <c r="C39" s="3">
        <v>344</v>
      </c>
      <c r="D39" s="3">
        <v>2265</v>
      </c>
      <c r="E39" s="2">
        <f t="shared" si="0"/>
        <v>344</v>
      </c>
      <c r="F39" s="2" t="str">
        <f t="shared" si="1"/>
        <v>35203</v>
      </c>
      <c r="G39" s="1">
        <f t="shared" si="2"/>
        <v>44142.78</v>
      </c>
    </row>
    <row r="40" spans="1:7" x14ac:dyDescent="0.25">
      <c r="A40" s="3">
        <v>2771</v>
      </c>
      <c r="B40" s="3">
        <v>800</v>
      </c>
      <c r="C40" s="3">
        <v>781</v>
      </c>
      <c r="D40" s="3">
        <v>2808</v>
      </c>
      <c r="E40" s="2">
        <f t="shared" si="0"/>
        <v>781</v>
      </c>
      <c r="F40" s="2" t="str">
        <f t="shared" si="1"/>
        <v>35203</v>
      </c>
      <c r="G40" s="1">
        <f t="shared" si="2"/>
        <v>78413.69</v>
      </c>
    </row>
    <row r="41" spans="1:7" x14ac:dyDescent="0.25">
      <c r="A41" s="3">
        <v>2314</v>
      </c>
      <c r="B41" s="3">
        <v>343</v>
      </c>
      <c r="C41" s="3">
        <v>710</v>
      </c>
      <c r="D41" s="3">
        <v>2351</v>
      </c>
      <c r="E41" s="2">
        <f t="shared" si="0"/>
        <v>343</v>
      </c>
      <c r="F41" s="2" t="str">
        <f t="shared" si="1"/>
        <v>53203</v>
      </c>
      <c r="G41" s="1">
        <f t="shared" si="2"/>
        <v>42441.25</v>
      </c>
    </row>
    <row r="42" spans="1:7" x14ac:dyDescent="0.25">
      <c r="A42" s="3">
        <v>2352</v>
      </c>
      <c r="B42" s="3">
        <v>381</v>
      </c>
      <c r="C42" s="3">
        <v>722</v>
      </c>
      <c r="D42" s="3">
        <v>2389</v>
      </c>
      <c r="E42" s="2">
        <f t="shared" si="0"/>
        <v>381</v>
      </c>
      <c r="F42" s="2" t="str">
        <f t="shared" si="1"/>
        <v>53203</v>
      </c>
      <c r="G42" s="1">
        <f t="shared" si="2"/>
        <v>45564.93</v>
      </c>
    </row>
    <row r="43" spans="1:7" x14ac:dyDescent="0.25">
      <c r="A43" s="3">
        <v>1668</v>
      </c>
      <c r="B43" s="3">
        <v>332</v>
      </c>
      <c r="C43" s="3">
        <v>1069</v>
      </c>
      <c r="D43" s="3">
        <v>1970</v>
      </c>
      <c r="E43" s="2">
        <f t="shared" si="0"/>
        <v>332</v>
      </c>
      <c r="F43" s="2" t="str">
        <f t="shared" si="1"/>
        <v>53203</v>
      </c>
      <c r="G43" s="1">
        <f t="shared" si="2"/>
        <v>39538.769999999997</v>
      </c>
    </row>
    <row r="44" spans="1:7" x14ac:dyDescent="0.25">
      <c r="A44" s="3">
        <v>1840</v>
      </c>
      <c r="B44" s="3">
        <v>569</v>
      </c>
      <c r="C44" s="3">
        <v>688</v>
      </c>
      <c r="D44" s="3">
        <v>1800</v>
      </c>
      <c r="E44" s="2">
        <f t="shared" si="0"/>
        <v>569</v>
      </c>
      <c r="F44" s="2" t="str">
        <f t="shared" si="1"/>
        <v>53203</v>
      </c>
      <c r="G44" s="1">
        <f t="shared" si="2"/>
        <v>56135.08</v>
      </c>
    </row>
    <row r="45" spans="1:7" x14ac:dyDescent="0.25">
      <c r="A45" s="3">
        <v>2089</v>
      </c>
      <c r="B45" s="3">
        <v>375</v>
      </c>
      <c r="C45" s="3">
        <v>500</v>
      </c>
      <c r="D45" s="3">
        <v>2050</v>
      </c>
      <c r="E45" s="2">
        <f t="shared" si="0"/>
        <v>375</v>
      </c>
      <c r="F45" s="2" t="str">
        <f t="shared" si="1"/>
        <v>53203</v>
      </c>
      <c r="G45" s="1">
        <f t="shared" si="2"/>
        <v>42552.29</v>
      </c>
    </row>
    <row r="46" spans="1:7" x14ac:dyDescent="0.25">
      <c r="A46" s="3">
        <v>1659</v>
      </c>
      <c r="B46" s="3">
        <v>508</v>
      </c>
      <c r="C46" s="3">
        <v>869</v>
      </c>
      <c r="D46" s="3">
        <v>1661</v>
      </c>
      <c r="E46" s="2">
        <f t="shared" si="0"/>
        <v>508</v>
      </c>
      <c r="F46" s="2" t="str">
        <f t="shared" si="1"/>
        <v>53203</v>
      </c>
      <c r="G46" s="1">
        <f t="shared" si="2"/>
        <v>51127.79</v>
      </c>
    </row>
    <row r="47" spans="1:7" x14ac:dyDescent="0.25">
      <c r="A47" s="3">
        <v>1145</v>
      </c>
      <c r="B47" s="3">
        <v>1806</v>
      </c>
      <c r="C47" s="3">
        <v>1799</v>
      </c>
      <c r="D47" s="3">
        <v>568</v>
      </c>
      <c r="E47" s="2">
        <f t="shared" si="0"/>
        <v>568</v>
      </c>
      <c r="F47" s="2" t="str">
        <f t="shared" si="1"/>
        <v>94612</v>
      </c>
      <c r="G47" s="1">
        <f t="shared" si="2"/>
        <v>57372.5</v>
      </c>
    </row>
    <row r="48" spans="1:7" x14ac:dyDescent="0.25">
      <c r="A48" s="3">
        <v>738</v>
      </c>
      <c r="B48" s="3">
        <v>1964</v>
      </c>
      <c r="C48" s="3">
        <v>2267</v>
      </c>
      <c r="D48" s="3">
        <v>256</v>
      </c>
      <c r="E48" s="2">
        <f t="shared" si="0"/>
        <v>256</v>
      </c>
      <c r="F48" s="2" t="str">
        <f t="shared" si="1"/>
        <v>94612</v>
      </c>
      <c r="G48" s="1">
        <f t="shared" si="2"/>
        <v>34653.589999999997</v>
      </c>
    </row>
    <row r="49" spans="1:7" x14ac:dyDescent="0.25">
      <c r="A49" s="3">
        <v>3087</v>
      </c>
      <c r="B49" s="3">
        <v>1116</v>
      </c>
      <c r="C49" s="3">
        <v>1214</v>
      </c>
      <c r="D49" s="3">
        <v>3124</v>
      </c>
      <c r="E49" s="2">
        <f t="shared" si="0"/>
        <v>1116</v>
      </c>
      <c r="F49" s="2" t="str">
        <f t="shared" si="1"/>
        <v>53203</v>
      </c>
      <c r="G49" s="1">
        <f t="shared" si="2"/>
        <v>106791.75</v>
      </c>
    </row>
    <row r="50" spans="1:7" x14ac:dyDescent="0.25">
      <c r="A50" s="3">
        <v>2857</v>
      </c>
      <c r="B50" s="3">
        <v>886</v>
      </c>
      <c r="C50" s="3">
        <v>950</v>
      </c>
      <c r="D50" s="3">
        <v>2894</v>
      </c>
      <c r="E50" s="2">
        <f t="shared" si="0"/>
        <v>886</v>
      </c>
      <c r="F50" s="2" t="str">
        <f t="shared" si="1"/>
        <v>53203</v>
      </c>
      <c r="G50" s="1">
        <f t="shared" si="2"/>
        <v>87290.11</v>
      </c>
    </row>
    <row r="51" spans="1:7" x14ac:dyDescent="0.25">
      <c r="A51" s="3">
        <v>2860</v>
      </c>
      <c r="B51" s="3">
        <v>889</v>
      </c>
      <c r="C51" s="3">
        <v>959</v>
      </c>
      <c r="D51" s="3">
        <v>2896</v>
      </c>
      <c r="E51" s="2">
        <f t="shared" si="0"/>
        <v>889</v>
      </c>
      <c r="F51" s="2" t="str">
        <f t="shared" si="1"/>
        <v>53203</v>
      </c>
      <c r="G51" s="1">
        <f t="shared" si="2"/>
        <v>87558.65</v>
      </c>
    </row>
    <row r="52" spans="1:7" x14ac:dyDescent="0.25">
      <c r="A52" s="3">
        <v>2852</v>
      </c>
      <c r="B52" s="3">
        <v>881</v>
      </c>
      <c r="C52" s="3">
        <v>952</v>
      </c>
      <c r="D52" s="3">
        <v>2889</v>
      </c>
      <c r="E52" s="2">
        <f t="shared" si="0"/>
        <v>881</v>
      </c>
      <c r="F52" s="2" t="str">
        <f t="shared" si="1"/>
        <v>53203</v>
      </c>
      <c r="G52" s="1">
        <f t="shared" si="2"/>
        <v>86890.23</v>
      </c>
    </row>
    <row r="53" spans="1:7" x14ac:dyDescent="0.25">
      <c r="A53" s="3">
        <v>2863</v>
      </c>
      <c r="B53" s="3">
        <v>892</v>
      </c>
      <c r="C53" s="3">
        <v>964</v>
      </c>
      <c r="D53" s="3">
        <v>2900</v>
      </c>
      <c r="E53" s="2">
        <f t="shared" si="0"/>
        <v>892</v>
      </c>
      <c r="F53" s="2" t="str">
        <f t="shared" si="1"/>
        <v>53203</v>
      </c>
      <c r="G53" s="1">
        <f t="shared" si="2"/>
        <v>87820.97</v>
      </c>
    </row>
    <row r="54" spans="1:7" x14ac:dyDescent="0.25">
      <c r="A54" s="3">
        <v>2873</v>
      </c>
      <c r="B54" s="3">
        <v>902</v>
      </c>
      <c r="C54" s="3">
        <v>980</v>
      </c>
      <c r="D54" s="3">
        <v>2910</v>
      </c>
      <c r="E54" s="2">
        <f t="shared" si="0"/>
        <v>902</v>
      </c>
      <c r="F54" s="2" t="str">
        <f t="shared" si="1"/>
        <v>53203</v>
      </c>
      <c r="G54" s="1">
        <f t="shared" si="2"/>
        <v>88682.93</v>
      </c>
    </row>
    <row r="55" spans="1:7" x14ac:dyDescent="0.25">
      <c r="A55" s="3">
        <v>2876</v>
      </c>
      <c r="B55" s="3">
        <v>905</v>
      </c>
      <c r="C55" s="3">
        <v>543</v>
      </c>
      <c r="D55" s="3">
        <v>2829</v>
      </c>
      <c r="E55" s="2">
        <f t="shared" si="0"/>
        <v>543</v>
      </c>
      <c r="F55" s="2" t="str">
        <f t="shared" si="1"/>
        <v>35203</v>
      </c>
      <c r="G55" s="1">
        <f t="shared" si="2"/>
        <v>61282.1</v>
      </c>
    </row>
    <row r="56" spans="1:7" x14ac:dyDescent="0.25">
      <c r="A56" s="3">
        <v>2856</v>
      </c>
      <c r="B56" s="3">
        <v>885</v>
      </c>
      <c r="C56" s="3">
        <v>531</v>
      </c>
      <c r="D56" s="3">
        <v>2808</v>
      </c>
      <c r="E56" s="2">
        <f t="shared" si="0"/>
        <v>531</v>
      </c>
      <c r="F56" s="2" t="str">
        <f t="shared" si="1"/>
        <v>35203</v>
      </c>
      <c r="G56" s="1">
        <f t="shared" si="2"/>
        <v>60192.39</v>
      </c>
    </row>
    <row r="57" spans="1:7" x14ac:dyDescent="0.25">
      <c r="A57" s="3">
        <v>2327</v>
      </c>
      <c r="B57" s="3">
        <v>389</v>
      </c>
      <c r="C57" s="3">
        <v>468</v>
      </c>
      <c r="D57" s="3">
        <v>2374</v>
      </c>
      <c r="E57" s="2">
        <f t="shared" si="0"/>
        <v>389</v>
      </c>
      <c r="F57" s="2" t="str">
        <f t="shared" si="1"/>
        <v>53203</v>
      </c>
      <c r="G57" s="1">
        <f t="shared" si="2"/>
        <v>45250.59</v>
      </c>
    </row>
    <row r="58" spans="1:7" x14ac:dyDescent="0.25">
      <c r="A58" s="3">
        <v>2417</v>
      </c>
      <c r="B58" s="3">
        <v>446</v>
      </c>
      <c r="C58" s="3">
        <v>712</v>
      </c>
      <c r="D58" s="3">
        <v>2453</v>
      </c>
      <c r="E58" s="2">
        <f t="shared" si="0"/>
        <v>446</v>
      </c>
      <c r="F58" s="2" t="str">
        <f t="shared" si="1"/>
        <v>53203</v>
      </c>
      <c r="G58" s="1">
        <f t="shared" si="2"/>
        <v>50810.020000000004</v>
      </c>
    </row>
    <row r="59" spans="1:7" x14ac:dyDescent="0.25">
      <c r="A59" s="3">
        <v>2007</v>
      </c>
      <c r="B59" s="3">
        <v>892</v>
      </c>
      <c r="C59" s="3">
        <v>705</v>
      </c>
      <c r="D59" s="3">
        <v>1639</v>
      </c>
      <c r="E59" s="2">
        <f t="shared" si="0"/>
        <v>705</v>
      </c>
      <c r="F59" s="2" t="str">
        <f t="shared" si="1"/>
        <v>35203</v>
      </c>
      <c r="G59" s="1">
        <f t="shared" si="2"/>
        <v>66988.179999999993</v>
      </c>
    </row>
    <row r="60" spans="1:7" x14ac:dyDescent="0.25">
      <c r="A60" s="3">
        <v>2000</v>
      </c>
      <c r="B60" s="3">
        <v>773</v>
      </c>
      <c r="C60" s="3">
        <v>639</v>
      </c>
      <c r="D60" s="3">
        <v>1718</v>
      </c>
      <c r="E60" s="2">
        <f t="shared" si="0"/>
        <v>639</v>
      </c>
      <c r="F60" s="2" t="str">
        <f t="shared" si="1"/>
        <v>35203</v>
      </c>
      <c r="G60" s="1">
        <f t="shared" si="2"/>
        <v>61892.01</v>
      </c>
    </row>
    <row r="61" spans="1:7" x14ac:dyDescent="0.25">
      <c r="A61" s="3">
        <v>278</v>
      </c>
      <c r="B61" s="3">
        <v>2173</v>
      </c>
      <c r="C61" s="3">
        <v>2494</v>
      </c>
      <c r="D61" s="3">
        <v>523</v>
      </c>
      <c r="E61" s="2">
        <f t="shared" si="0"/>
        <v>278</v>
      </c>
      <c r="F61" s="2" t="str">
        <f t="shared" si="1"/>
        <v>98108</v>
      </c>
      <c r="G61" s="1">
        <f t="shared" si="2"/>
        <v>36990.9</v>
      </c>
    </row>
    <row r="62" spans="1:7" x14ac:dyDescent="0.25">
      <c r="A62" s="3">
        <v>168</v>
      </c>
      <c r="B62" s="3">
        <v>2065</v>
      </c>
      <c r="C62" s="3">
        <v>2480</v>
      </c>
      <c r="D62" s="3">
        <v>629</v>
      </c>
      <c r="E62" s="2">
        <f t="shared" si="0"/>
        <v>168</v>
      </c>
      <c r="F62" s="2" t="str">
        <f t="shared" si="1"/>
        <v>98108</v>
      </c>
      <c r="G62" s="1">
        <f t="shared" si="2"/>
        <v>28691.14</v>
      </c>
    </row>
    <row r="63" spans="1:7" x14ac:dyDescent="0.25">
      <c r="A63" s="3">
        <v>2832</v>
      </c>
      <c r="B63" s="3">
        <v>861</v>
      </c>
      <c r="C63" s="3">
        <v>878</v>
      </c>
      <c r="D63" s="3">
        <v>2869</v>
      </c>
      <c r="E63" s="2">
        <f t="shared" si="0"/>
        <v>861</v>
      </c>
      <c r="F63" s="2" t="str">
        <f t="shared" si="1"/>
        <v>53203</v>
      </c>
      <c r="G63" s="1">
        <f t="shared" si="2"/>
        <v>85035.69</v>
      </c>
    </row>
    <row r="64" spans="1:7" x14ac:dyDescent="0.25">
      <c r="A64" s="3">
        <v>2535</v>
      </c>
      <c r="B64" s="3">
        <v>564</v>
      </c>
      <c r="C64" s="3">
        <v>753</v>
      </c>
      <c r="D64" s="3">
        <v>2572</v>
      </c>
      <c r="E64" s="2">
        <f t="shared" si="0"/>
        <v>564</v>
      </c>
      <c r="F64" s="2" t="str">
        <f t="shared" si="1"/>
        <v>53203</v>
      </c>
      <c r="G64" s="1">
        <f t="shared" si="2"/>
        <v>60524.6</v>
      </c>
    </row>
    <row r="65" spans="1:7" x14ac:dyDescent="0.25">
      <c r="A65" s="3">
        <v>3046</v>
      </c>
      <c r="B65" s="3">
        <v>1075</v>
      </c>
      <c r="C65" s="3">
        <v>1153</v>
      </c>
      <c r="D65" s="3">
        <v>3083</v>
      </c>
      <c r="E65" s="2">
        <f t="shared" si="0"/>
        <v>1075</v>
      </c>
      <c r="F65" s="2" t="str">
        <f t="shared" si="1"/>
        <v>53203</v>
      </c>
      <c r="G65" s="1">
        <f t="shared" si="2"/>
        <v>103272.02</v>
      </c>
    </row>
    <row r="66" spans="1:7" x14ac:dyDescent="0.25">
      <c r="A66" s="3">
        <v>2835</v>
      </c>
      <c r="B66" s="3">
        <v>903</v>
      </c>
      <c r="C66" s="3">
        <v>362</v>
      </c>
      <c r="D66" s="3">
        <v>2678</v>
      </c>
      <c r="E66" s="2">
        <f t="shared" si="0"/>
        <v>362</v>
      </c>
      <c r="F66" s="2" t="str">
        <f t="shared" si="1"/>
        <v>35203</v>
      </c>
      <c r="G66" s="1">
        <f t="shared" si="2"/>
        <v>47103.759999999995</v>
      </c>
    </row>
    <row r="67" spans="1:7" x14ac:dyDescent="0.25">
      <c r="A67" s="3">
        <v>1478</v>
      </c>
      <c r="B67" s="3">
        <v>497</v>
      </c>
      <c r="C67" s="3">
        <v>1053</v>
      </c>
      <c r="D67" s="3">
        <v>1727</v>
      </c>
      <c r="E67" s="2">
        <f t="shared" si="0"/>
        <v>497</v>
      </c>
      <c r="F67" s="2" t="str">
        <f t="shared" si="1"/>
        <v>53203</v>
      </c>
      <c r="G67" s="1">
        <f t="shared" si="2"/>
        <v>50517.38</v>
      </c>
    </row>
    <row r="68" spans="1:7" x14ac:dyDescent="0.25">
      <c r="A68" s="3">
        <v>2359</v>
      </c>
      <c r="B68" s="3">
        <v>561</v>
      </c>
      <c r="C68" s="3">
        <v>232</v>
      </c>
      <c r="D68" s="3">
        <v>2294</v>
      </c>
      <c r="E68" s="2">
        <f t="shared" si="0"/>
        <v>232</v>
      </c>
      <c r="F68" s="2" t="str">
        <f t="shared" si="1"/>
        <v>35203</v>
      </c>
      <c r="G68" s="1">
        <f t="shared" si="2"/>
        <v>33615.54</v>
      </c>
    </row>
    <row r="69" spans="1:7" x14ac:dyDescent="0.25">
      <c r="A69" s="3">
        <v>2091</v>
      </c>
      <c r="B69" s="3">
        <v>1156</v>
      </c>
      <c r="C69" s="3">
        <v>741</v>
      </c>
      <c r="D69" s="3">
        <v>1744</v>
      </c>
      <c r="E69" s="2">
        <f t="shared" si="0"/>
        <v>741</v>
      </c>
      <c r="F69" s="2" t="str">
        <f t="shared" si="1"/>
        <v>35203</v>
      </c>
      <c r="G69" s="1">
        <f t="shared" si="2"/>
        <v>71097.009999999995</v>
      </c>
    </row>
    <row r="70" spans="1:7" x14ac:dyDescent="0.25">
      <c r="A70" s="3">
        <v>2219</v>
      </c>
      <c r="B70" s="3">
        <v>1432</v>
      </c>
      <c r="C70" s="3">
        <v>978</v>
      </c>
      <c r="D70" s="3">
        <v>1780</v>
      </c>
      <c r="E70" s="2">
        <f t="shared" si="0"/>
        <v>978</v>
      </c>
      <c r="F70" s="2" t="str">
        <f t="shared" si="1"/>
        <v>35203</v>
      </c>
      <c r="G70" s="1">
        <f t="shared" si="2"/>
        <v>90240.41</v>
      </c>
    </row>
    <row r="71" spans="1:7" x14ac:dyDescent="0.25">
      <c r="A71" s="3">
        <v>2123</v>
      </c>
      <c r="B71" s="3">
        <v>1052</v>
      </c>
      <c r="C71" s="3">
        <v>629</v>
      </c>
      <c r="D71" s="3">
        <v>1734</v>
      </c>
      <c r="E71" s="2">
        <f t="shared" si="0"/>
        <v>629</v>
      </c>
      <c r="F71" s="2" t="str">
        <f t="shared" si="1"/>
        <v>35203</v>
      </c>
      <c r="G71" s="1">
        <f t="shared" si="2"/>
        <v>62441.99</v>
      </c>
    </row>
    <row r="72" spans="1:7" x14ac:dyDescent="0.25">
      <c r="A72" s="3">
        <v>2781</v>
      </c>
      <c r="B72" s="3">
        <v>811</v>
      </c>
      <c r="C72" s="3">
        <v>746</v>
      </c>
      <c r="D72" s="3">
        <v>2818</v>
      </c>
      <c r="E72" s="2">
        <f t="shared" si="0"/>
        <v>746</v>
      </c>
      <c r="F72" s="2" t="str">
        <f t="shared" si="1"/>
        <v>35203</v>
      </c>
      <c r="G72" s="1">
        <f t="shared" si="2"/>
        <v>75885.100000000006</v>
      </c>
    </row>
    <row r="73" spans="1:7" x14ac:dyDescent="0.25">
      <c r="A73" s="3">
        <v>2945</v>
      </c>
      <c r="B73" s="3">
        <v>974</v>
      </c>
      <c r="C73" s="3">
        <v>716</v>
      </c>
      <c r="D73" s="3">
        <v>2950</v>
      </c>
      <c r="E73" s="2">
        <f t="shared" ref="E73:E77" si="3">MIN(A73:D73)</f>
        <v>716</v>
      </c>
      <c r="F73" s="2" t="str">
        <f t="shared" ref="F73:F77" si="4">INDEX($A$7:$D$7,MATCH(E73,A73:D73,0))</f>
        <v>35203</v>
      </c>
      <c r="G73" s="1">
        <f t="shared" ref="G73:G77" si="5">E73*$K$9+(SUM(A73:D73)-E73)*$K$8</f>
        <v>75062.59</v>
      </c>
    </row>
    <row r="74" spans="1:7" x14ac:dyDescent="0.25">
      <c r="A74" s="3">
        <v>0</v>
      </c>
      <c r="B74" s="3">
        <v>1995</v>
      </c>
      <c r="C74" s="3">
        <v>2525</v>
      </c>
      <c r="D74" s="3">
        <v>796</v>
      </c>
      <c r="E74" s="2">
        <f t="shared" si="3"/>
        <v>0</v>
      </c>
      <c r="F74" s="2" t="str">
        <f t="shared" si="4"/>
        <v>98108</v>
      </c>
      <c r="G74" s="1">
        <f t="shared" si="5"/>
        <v>16532.759999999998</v>
      </c>
    </row>
    <row r="75" spans="1:7" x14ac:dyDescent="0.25">
      <c r="A75" s="3">
        <v>282</v>
      </c>
      <c r="B75" s="3">
        <v>1714</v>
      </c>
      <c r="C75" s="3">
        <v>2244</v>
      </c>
      <c r="D75" s="3">
        <v>864</v>
      </c>
      <c r="E75" s="2">
        <f t="shared" si="3"/>
        <v>282</v>
      </c>
      <c r="F75" s="2" t="str">
        <f t="shared" si="4"/>
        <v>98108</v>
      </c>
      <c r="G75" s="1">
        <f t="shared" si="5"/>
        <v>36146.42</v>
      </c>
    </row>
    <row r="76" spans="1:7" x14ac:dyDescent="0.25">
      <c r="A76" s="3">
        <v>1934</v>
      </c>
      <c r="B76" s="3">
        <v>121</v>
      </c>
      <c r="C76" s="3">
        <v>878</v>
      </c>
      <c r="D76" s="3">
        <v>2224</v>
      </c>
      <c r="E76" s="2">
        <f t="shared" si="3"/>
        <v>121</v>
      </c>
      <c r="F76" s="2" t="str">
        <f t="shared" si="4"/>
        <v>53203</v>
      </c>
      <c r="G76" s="1">
        <f t="shared" si="5"/>
        <v>24736.959999999999</v>
      </c>
    </row>
    <row r="77" spans="1:7" x14ac:dyDescent="0.25">
      <c r="A77" s="3">
        <v>1927</v>
      </c>
      <c r="B77" s="3">
        <v>74</v>
      </c>
      <c r="C77" s="3">
        <v>811</v>
      </c>
      <c r="D77" s="3">
        <v>2091</v>
      </c>
      <c r="E77" s="2">
        <f t="shared" si="3"/>
        <v>74</v>
      </c>
      <c r="F77" s="2" t="str">
        <f t="shared" si="4"/>
        <v>53203</v>
      </c>
      <c r="G77" s="1">
        <f t="shared" si="5"/>
        <v>20568.189999999999</v>
      </c>
    </row>
  </sheetData>
  <printOptions horizontalCentered="1"/>
  <pageMargins left="0.4" right="0.4" top="0.4" bottom="0.75" header="0.3" footer="0.3"/>
  <pageSetup scale="52" orientation="landscape" r:id="rId1"/>
  <headerFooter>
    <oddFooter>&amp;L&amp;A&amp;RPage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0000"/>
    <pageSetUpPr fitToPage="1"/>
  </sheetPr>
  <dimension ref="A1:K77"/>
  <sheetViews>
    <sheetView zoomScale="85" zoomScaleNormal="85" workbookViewId="0">
      <selection activeCell="E7" sqref="E7:L17"/>
    </sheetView>
  </sheetViews>
  <sheetFormatPr defaultRowHeight="15" x14ac:dyDescent="0.25"/>
  <cols>
    <col min="1" max="1" width="27.5703125" customWidth="1"/>
    <col min="2" max="2" width="21.42578125" customWidth="1"/>
    <col min="3" max="3" width="14.140625" customWidth="1"/>
    <col min="4" max="4" width="15.28515625" customWidth="1"/>
    <col min="5" max="5" width="17.85546875" customWidth="1"/>
    <col min="6" max="6" width="24.85546875" customWidth="1"/>
    <col min="7" max="7" width="17.85546875" customWidth="1"/>
    <col min="8" max="8" width="24" customWidth="1"/>
    <col min="9" max="9" width="9" customWidth="1"/>
    <col min="10" max="11" width="26.85546875" customWidth="1"/>
    <col min="12" max="12" width="31.140625" customWidth="1"/>
    <col min="13" max="13" width="15.85546875" customWidth="1"/>
    <col min="16" max="16" width="11" customWidth="1"/>
  </cols>
  <sheetData>
    <row r="1" spans="1:11" x14ac:dyDescent="0.25">
      <c r="A1" s="15" t="s">
        <v>15</v>
      </c>
      <c r="B1" s="14"/>
      <c r="C1" s="14"/>
      <c r="D1" s="14"/>
      <c r="E1" s="14"/>
      <c r="F1" s="14"/>
      <c r="G1" s="14"/>
      <c r="H1" s="14"/>
      <c r="I1" s="14"/>
      <c r="J1" s="13"/>
    </row>
    <row r="2" spans="1:11" x14ac:dyDescent="0.25">
      <c r="A2" s="10" t="s">
        <v>14</v>
      </c>
      <c r="B2" s="9"/>
      <c r="C2" s="9"/>
      <c r="D2" s="9"/>
      <c r="E2" s="9"/>
      <c r="F2" s="9"/>
      <c r="G2" s="9"/>
      <c r="H2" s="9"/>
      <c r="I2" s="9"/>
      <c r="J2" s="8"/>
    </row>
    <row r="4" spans="1:11" ht="30" x14ac:dyDescent="0.25">
      <c r="A4" s="4" t="s">
        <v>11</v>
      </c>
      <c r="B4" s="4" t="s">
        <v>10</v>
      </c>
      <c r="C4" s="4" t="s">
        <v>9</v>
      </c>
      <c r="D4" s="4" t="s">
        <v>8</v>
      </c>
    </row>
    <row r="5" spans="1:11" x14ac:dyDescent="0.25">
      <c r="A5" s="6" t="s">
        <v>7</v>
      </c>
    </row>
    <row r="7" spans="1:11" ht="30" x14ac:dyDescent="0.25">
      <c r="A7" s="5" t="s">
        <v>0</v>
      </c>
      <c r="B7" s="5" t="s">
        <v>6</v>
      </c>
      <c r="C7" s="5" t="s">
        <v>5</v>
      </c>
      <c r="D7" s="5" t="s">
        <v>4</v>
      </c>
      <c r="E7" s="4" t="s">
        <v>3</v>
      </c>
      <c r="F7" s="4" t="s">
        <v>2</v>
      </c>
      <c r="G7" s="4" t="s">
        <v>1</v>
      </c>
      <c r="H7" s="4" t="s">
        <v>1</v>
      </c>
      <c r="J7" s="12" t="s">
        <v>16</v>
      </c>
      <c r="K7" s="11"/>
    </row>
    <row r="8" spans="1:11" x14ac:dyDescent="0.25">
      <c r="A8" s="3">
        <v>1447</v>
      </c>
      <c r="B8" s="3">
        <v>1830</v>
      </c>
      <c r="C8" s="3">
        <v>1686</v>
      </c>
      <c r="D8" s="3">
        <v>766</v>
      </c>
      <c r="E8" s="2">
        <f>MIN(A8:D8)</f>
        <v>766</v>
      </c>
      <c r="F8" s="2" t="str">
        <f>INDEX($A$4:$D$4,MATCH(E8,A8:D8,0))</f>
        <v>Oakland, California</v>
      </c>
      <c r="G8" s="1">
        <f>IF(E8*$K$8&lt;$K$9,$K$9,E8*$K$8)</f>
        <v>2382.2599999999998</v>
      </c>
      <c r="H8" s="1">
        <f>MAX(E8*$K$8,$K$9)</f>
        <v>2382.2599999999998</v>
      </c>
      <c r="J8" s="3" t="s">
        <v>13</v>
      </c>
      <c r="K8" s="7">
        <v>3.11</v>
      </c>
    </row>
    <row r="9" spans="1:11" x14ac:dyDescent="0.25">
      <c r="A9" s="3">
        <v>1405</v>
      </c>
      <c r="B9" s="3">
        <v>1870</v>
      </c>
      <c r="C9" s="3">
        <v>1715</v>
      </c>
      <c r="D9" s="3">
        <v>744</v>
      </c>
      <c r="E9" s="2">
        <f t="shared" ref="E9:E11" si="0">MIN(A9:D9)</f>
        <v>744</v>
      </c>
      <c r="F9" s="2" t="str">
        <f t="shared" ref="F9:F11" si="1">INDEX($A$4:$D$4,MATCH(E9,A9:D9,0))</f>
        <v>Oakland, California</v>
      </c>
      <c r="G9" s="1">
        <f t="shared" ref="G9:G11" si="2">IF(E9*$K$8&lt;$K$9,$K$9,E9*$K$8)</f>
        <v>2313.8399999999997</v>
      </c>
      <c r="H9" s="1">
        <f t="shared" ref="H9:H11" si="3">MAX(E9*$K$8,$K$9)</f>
        <v>2313.8399999999997</v>
      </c>
      <c r="J9" s="3" t="s">
        <v>12</v>
      </c>
      <c r="K9" s="7">
        <v>75</v>
      </c>
    </row>
    <row r="10" spans="1:11" x14ac:dyDescent="0.25">
      <c r="A10" s="3">
        <v>1440</v>
      </c>
      <c r="B10" s="3">
        <v>1816</v>
      </c>
      <c r="C10" s="3">
        <v>1702</v>
      </c>
      <c r="D10" s="3">
        <v>758</v>
      </c>
      <c r="E10" s="2">
        <f t="shared" si="0"/>
        <v>758</v>
      </c>
      <c r="F10" s="2" t="str">
        <f t="shared" si="1"/>
        <v>Oakland, California</v>
      </c>
      <c r="G10" s="1">
        <f t="shared" si="2"/>
        <v>2357.38</v>
      </c>
      <c r="H10" s="1">
        <f t="shared" si="3"/>
        <v>2357.38</v>
      </c>
    </row>
    <row r="11" spans="1:11" x14ac:dyDescent="0.25">
      <c r="A11" s="3">
        <v>1435</v>
      </c>
      <c r="B11" s="3">
        <v>1818</v>
      </c>
      <c r="C11" s="3">
        <v>1706</v>
      </c>
      <c r="D11" s="3">
        <v>754</v>
      </c>
      <c r="E11" s="2">
        <f t="shared" si="0"/>
        <v>754</v>
      </c>
      <c r="F11" s="2" t="str">
        <f t="shared" si="1"/>
        <v>Oakland, California</v>
      </c>
      <c r="G11" s="1">
        <f t="shared" si="2"/>
        <v>2344.94</v>
      </c>
      <c r="H11" s="1">
        <f t="shared" si="3"/>
        <v>2344.94</v>
      </c>
    </row>
    <row r="12" spans="1:11" x14ac:dyDescent="0.25">
      <c r="A12" s="3">
        <v>2277</v>
      </c>
      <c r="B12" s="3">
        <v>743</v>
      </c>
      <c r="C12" s="3">
        <v>373</v>
      </c>
      <c r="D12" s="3">
        <v>1955</v>
      </c>
      <c r="E12" s="2">
        <f t="shared" ref="E12:E71" si="4">MIN(A12:D12)</f>
        <v>373</v>
      </c>
      <c r="F12" s="2" t="str">
        <f t="shared" ref="F12:F71" si="5">INDEX($A$4:$D$4,MATCH(E12,A12:D12,0))</f>
        <v>Birmingham, Alabama</v>
      </c>
      <c r="G12" s="1">
        <f t="shared" ref="G12:G75" si="6">IF(E12*$K$8&lt;$K$9,$K$9,E12*$K$8)</f>
        <v>1160.03</v>
      </c>
      <c r="H12" s="1">
        <f t="shared" ref="H12:H75" si="7">MAX(E12*$K$8,$K$9)</f>
        <v>1160.03</v>
      </c>
    </row>
    <row r="13" spans="1:11" x14ac:dyDescent="0.25">
      <c r="A13" s="3">
        <v>796</v>
      </c>
      <c r="B13" s="3">
        <v>2146</v>
      </c>
      <c r="C13" s="3">
        <v>2299</v>
      </c>
      <c r="D13" s="3">
        <v>36</v>
      </c>
      <c r="E13" s="2">
        <f t="shared" si="4"/>
        <v>36</v>
      </c>
      <c r="F13" s="2" t="str">
        <f t="shared" si="5"/>
        <v>Oakland, California</v>
      </c>
      <c r="G13" s="1">
        <f t="shared" si="6"/>
        <v>111.96</v>
      </c>
      <c r="H13" s="1">
        <f t="shared" si="7"/>
        <v>111.96</v>
      </c>
    </row>
    <row r="14" spans="1:11" x14ac:dyDescent="0.25">
      <c r="A14" s="3">
        <v>795</v>
      </c>
      <c r="B14" s="3">
        <v>2165</v>
      </c>
      <c r="C14" s="3">
        <v>2319</v>
      </c>
      <c r="D14" s="3">
        <v>4</v>
      </c>
      <c r="E14" s="2">
        <f t="shared" si="4"/>
        <v>4</v>
      </c>
      <c r="F14" s="2" t="str">
        <f t="shared" si="5"/>
        <v>Oakland, California</v>
      </c>
      <c r="G14" s="1">
        <f t="shared" si="6"/>
        <v>75</v>
      </c>
      <c r="H14" s="1">
        <f t="shared" si="7"/>
        <v>75</v>
      </c>
    </row>
    <row r="15" spans="1:11" x14ac:dyDescent="0.25">
      <c r="A15" s="3">
        <v>1258</v>
      </c>
      <c r="B15" s="3">
        <v>2124</v>
      </c>
      <c r="C15" s="3">
        <v>1996</v>
      </c>
      <c r="D15" s="3">
        <v>499</v>
      </c>
      <c r="E15" s="2">
        <f t="shared" si="4"/>
        <v>499</v>
      </c>
      <c r="F15" s="2" t="str">
        <f t="shared" si="5"/>
        <v>Oakland, California</v>
      </c>
      <c r="G15" s="1">
        <f t="shared" si="6"/>
        <v>1551.8899999999999</v>
      </c>
      <c r="H15" s="1">
        <f t="shared" si="7"/>
        <v>1551.8899999999999</v>
      </c>
    </row>
    <row r="16" spans="1:11" x14ac:dyDescent="0.25">
      <c r="A16" s="3">
        <v>785</v>
      </c>
      <c r="B16" s="3">
        <v>2155</v>
      </c>
      <c r="C16" s="3">
        <v>2319</v>
      </c>
      <c r="D16" s="3">
        <v>25</v>
      </c>
      <c r="E16" s="2">
        <f t="shared" si="4"/>
        <v>25</v>
      </c>
      <c r="F16" s="2" t="str">
        <f t="shared" si="5"/>
        <v>Oakland, California</v>
      </c>
      <c r="G16" s="1">
        <f t="shared" si="6"/>
        <v>77.75</v>
      </c>
      <c r="H16" s="1">
        <f t="shared" si="7"/>
        <v>77.75</v>
      </c>
    </row>
    <row r="17" spans="1:8" x14ac:dyDescent="0.25">
      <c r="A17" s="3">
        <v>813</v>
      </c>
      <c r="B17" s="3">
        <v>2183</v>
      </c>
      <c r="C17" s="3">
        <v>2329</v>
      </c>
      <c r="D17" s="3">
        <v>21</v>
      </c>
      <c r="E17" s="2">
        <f t="shared" si="4"/>
        <v>21</v>
      </c>
      <c r="F17" s="2" t="str">
        <f t="shared" si="5"/>
        <v>Oakland, California</v>
      </c>
      <c r="G17" s="1">
        <f t="shared" si="6"/>
        <v>75</v>
      </c>
      <c r="H17" s="1">
        <f t="shared" si="7"/>
        <v>75</v>
      </c>
    </row>
    <row r="18" spans="1:8" x14ac:dyDescent="0.25">
      <c r="A18" s="3">
        <v>759</v>
      </c>
      <c r="B18" s="3">
        <v>2129</v>
      </c>
      <c r="C18" s="3">
        <v>2339</v>
      </c>
      <c r="D18" s="3">
        <v>41</v>
      </c>
      <c r="E18" s="2">
        <f t="shared" si="4"/>
        <v>41</v>
      </c>
      <c r="F18" s="2" t="str">
        <f t="shared" si="5"/>
        <v>Oakland, California</v>
      </c>
      <c r="G18" s="1">
        <f t="shared" si="6"/>
        <v>127.50999999999999</v>
      </c>
      <c r="H18" s="1">
        <f t="shared" si="7"/>
        <v>127.50999999999999</v>
      </c>
    </row>
    <row r="19" spans="1:8" x14ac:dyDescent="0.25">
      <c r="A19" s="3">
        <v>816</v>
      </c>
      <c r="B19" s="3">
        <v>2186</v>
      </c>
      <c r="C19" s="3">
        <v>2306</v>
      </c>
      <c r="D19" s="3">
        <v>20</v>
      </c>
      <c r="E19" s="2">
        <f t="shared" si="4"/>
        <v>20</v>
      </c>
      <c r="F19" s="2" t="str">
        <f t="shared" si="5"/>
        <v>Oakland, California</v>
      </c>
      <c r="G19" s="1">
        <f t="shared" si="6"/>
        <v>75</v>
      </c>
      <c r="H19" s="1">
        <f t="shared" si="7"/>
        <v>75</v>
      </c>
    </row>
    <row r="20" spans="1:8" x14ac:dyDescent="0.25">
      <c r="A20" s="3">
        <v>1162</v>
      </c>
      <c r="B20" s="3">
        <v>2063</v>
      </c>
      <c r="C20" s="3">
        <v>2034</v>
      </c>
      <c r="D20" s="3">
        <v>404</v>
      </c>
      <c r="E20" s="2">
        <f t="shared" si="4"/>
        <v>404</v>
      </c>
      <c r="F20" s="2" t="str">
        <f t="shared" si="5"/>
        <v>Oakland, California</v>
      </c>
      <c r="G20" s="1">
        <f t="shared" si="6"/>
        <v>1256.44</v>
      </c>
      <c r="H20" s="1">
        <f t="shared" si="7"/>
        <v>1256.44</v>
      </c>
    </row>
    <row r="21" spans="1:8" x14ac:dyDescent="0.25">
      <c r="A21" s="3">
        <v>1156</v>
      </c>
      <c r="B21" s="3">
        <v>2071</v>
      </c>
      <c r="C21" s="3">
        <v>2042</v>
      </c>
      <c r="D21" s="3">
        <v>398</v>
      </c>
      <c r="E21" s="2">
        <f t="shared" si="4"/>
        <v>398</v>
      </c>
      <c r="F21" s="2" t="str">
        <f t="shared" si="5"/>
        <v>Oakland, California</v>
      </c>
      <c r="G21" s="1">
        <f t="shared" si="6"/>
        <v>1237.78</v>
      </c>
      <c r="H21" s="1">
        <f t="shared" si="7"/>
        <v>1237.78</v>
      </c>
    </row>
    <row r="22" spans="1:8" x14ac:dyDescent="0.25">
      <c r="A22" s="3">
        <v>822</v>
      </c>
      <c r="B22" s="3">
        <v>2158</v>
      </c>
      <c r="C22" s="3">
        <v>2248</v>
      </c>
      <c r="D22" s="3">
        <v>82</v>
      </c>
      <c r="E22" s="2">
        <f t="shared" si="4"/>
        <v>82</v>
      </c>
      <c r="F22" s="2" t="str">
        <f t="shared" si="5"/>
        <v>Oakland, California</v>
      </c>
      <c r="G22" s="1">
        <f t="shared" si="6"/>
        <v>255.01999999999998</v>
      </c>
      <c r="H22" s="1">
        <f t="shared" si="7"/>
        <v>255.01999999999998</v>
      </c>
    </row>
    <row r="23" spans="1:8" x14ac:dyDescent="0.25">
      <c r="A23" s="3">
        <v>834</v>
      </c>
      <c r="B23" s="3">
        <v>2204</v>
      </c>
      <c r="C23" s="3">
        <v>2290</v>
      </c>
      <c r="D23" s="3">
        <v>44</v>
      </c>
      <c r="E23" s="2">
        <f t="shared" si="4"/>
        <v>44</v>
      </c>
      <c r="F23" s="2" t="str">
        <f t="shared" si="5"/>
        <v>Oakland, California</v>
      </c>
      <c r="G23" s="1">
        <f t="shared" si="6"/>
        <v>136.84</v>
      </c>
      <c r="H23" s="1">
        <f t="shared" si="7"/>
        <v>136.84</v>
      </c>
    </row>
    <row r="24" spans="1:8" x14ac:dyDescent="0.25">
      <c r="A24" s="3">
        <v>835</v>
      </c>
      <c r="B24" s="3">
        <v>2205</v>
      </c>
      <c r="C24" s="3">
        <v>2293</v>
      </c>
      <c r="D24" s="3">
        <v>44</v>
      </c>
      <c r="E24" s="2">
        <f t="shared" si="4"/>
        <v>44</v>
      </c>
      <c r="F24" s="2" t="str">
        <f t="shared" si="5"/>
        <v>Oakland, California</v>
      </c>
      <c r="G24" s="1">
        <f t="shared" si="6"/>
        <v>136.84</v>
      </c>
      <c r="H24" s="1">
        <f t="shared" si="7"/>
        <v>136.84</v>
      </c>
    </row>
    <row r="25" spans="1:8" x14ac:dyDescent="0.25">
      <c r="A25" s="3">
        <v>1143</v>
      </c>
      <c r="B25" s="3">
        <v>2092</v>
      </c>
      <c r="C25" s="3">
        <v>2062</v>
      </c>
      <c r="D25" s="3">
        <v>385</v>
      </c>
      <c r="E25" s="2">
        <f t="shared" si="4"/>
        <v>385</v>
      </c>
      <c r="F25" s="2" t="str">
        <f t="shared" si="5"/>
        <v>Oakland, California</v>
      </c>
      <c r="G25" s="1">
        <f t="shared" si="6"/>
        <v>1197.3499999999999</v>
      </c>
      <c r="H25" s="1">
        <f t="shared" si="7"/>
        <v>1197.3499999999999</v>
      </c>
    </row>
    <row r="26" spans="1:8" x14ac:dyDescent="0.25">
      <c r="A26" s="3">
        <v>773</v>
      </c>
      <c r="B26" s="3">
        <v>2143</v>
      </c>
      <c r="C26" s="3">
        <v>2328</v>
      </c>
      <c r="D26" s="3">
        <v>25</v>
      </c>
      <c r="E26" s="2">
        <f t="shared" si="4"/>
        <v>25</v>
      </c>
      <c r="F26" s="2" t="str">
        <f t="shared" si="5"/>
        <v>Oakland, California</v>
      </c>
      <c r="G26" s="1">
        <f t="shared" si="6"/>
        <v>77.75</v>
      </c>
      <c r="H26" s="1">
        <f t="shared" si="7"/>
        <v>77.75</v>
      </c>
    </row>
    <row r="27" spans="1:8" x14ac:dyDescent="0.25">
      <c r="A27" s="3">
        <v>1332</v>
      </c>
      <c r="B27" s="3">
        <v>1045</v>
      </c>
      <c r="C27" s="3">
        <v>1318</v>
      </c>
      <c r="D27" s="3">
        <v>1260</v>
      </c>
      <c r="E27" s="2">
        <f t="shared" si="4"/>
        <v>1045</v>
      </c>
      <c r="F27" s="2" t="str">
        <f t="shared" si="5"/>
        <v>Milwaukee, Wisconsin</v>
      </c>
      <c r="G27" s="1">
        <f t="shared" si="6"/>
        <v>3249.95</v>
      </c>
      <c r="H27" s="1">
        <f t="shared" si="7"/>
        <v>3249.95</v>
      </c>
    </row>
    <row r="28" spans="1:8" x14ac:dyDescent="0.25">
      <c r="A28" s="3">
        <v>1388</v>
      </c>
      <c r="B28" s="3">
        <v>1114</v>
      </c>
      <c r="C28" s="3">
        <v>1312</v>
      </c>
      <c r="D28" s="3">
        <v>1316</v>
      </c>
      <c r="E28" s="2">
        <f t="shared" si="4"/>
        <v>1114</v>
      </c>
      <c r="F28" s="2" t="str">
        <f t="shared" si="5"/>
        <v>Milwaukee, Wisconsin</v>
      </c>
      <c r="G28" s="1">
        <f t="shared" si="6"/>
        <v>3464.54</v>
      </c>
      <c r="H28" s="1">
        <f t="shared" si="7"/>
        <v>3464.54</v>
      </c>
    </row>
    <row r="29" spans="1:8" x14ac:dyDescent="0.25">
      <c r="A29" s="3">
        <v>1318</v>
      </c>
      <c r="B29" s="3">
        <v>1043</v>
      </c>
      <c r="C29" s="3">
        <v>1328</v>
      </c>
      <c r="D29" s="3">
        <v>1246</v>
      </c>
      <c r="E29" s="2">
        <f t="shared" si="4"/>
        <v>1043</v>
      </c>
      <c r="F29" s="2" t="str">
        <f t="shared" si="5"/>
        <v>Milwaukee, Wisconsin</v>
      </c>
      <c r="G29" s="1">
        <f t="shared" si="6"/>
        <v>3243.73</v>
      </c>
      <c r="H29" s="1">
        <f t="shared" si="7"/>
        <v>3243.73</v>
      </c>
    </row>
    <row r="30" spans="1:8" x14ac:dyDescent="0.25">
      <c r="A30" s="3">
        <v>2067</v>
      </c>
      <c r="B30" s="3">
        <v>93</v>
      </c>
      <c r="C30" s="3">
        <v>663</v>
      </c>
      <c r="D30" s="3">
        <v>2124</v>
      </c>
      <c r="E30" s="2">
        <f t="shared" si="4"/>
        <v>93</v>
      </c>
      <c r="F30" s="2" t="str">
        <f t="shared" si="5"/>
        <v>Milwaukee, Wisconsin</v>
      </c>
      <c r="G30" s="1">
        <f t="shared" si="6"/>
        <v>289.22999999999996</v>
      </c>
      <c r="H30" s="1">
        <f t="shared" si="7"/>
        <v>289.22999999999996</v>
      </c>
    </row>
    <row r="31" spans="1:8" x14ac:dyDescent="0.25">
      <c r="A31" s="3">
        <v>2052</v>
      </c>
      <c r="B31" s="3">
        <v>126</v>
      </c>
      <c r="C31" s="3">
        <v>671</v>
      </c>
      <c r="D31" s="3">
        <v>2099</v>
      </c>
      <c r="E31" s="2">
        <f t="shared" si="4"/>
        <v>126</v>
      </c>
      <c r="F31" s="2" t="str">
        <f t="shared" si="5"/>
        <v>Milwaukee, Wisconsin</v>
      </c>
      <c r="G31" s="1">
        <f t="shared" si="6"/>
        <v>391.85999999999996</v>
      </c>
      <c r="H31" s="1">
        <f t="shared" si="7"/>
        <v>391.85999999999996</v>
      </c>
    </row>
    <row r="32" spans="1:8" x14ac:dyDescent="0.25">
      <c r="A32" s="3">
        <v>2254</v>
      </c>
      <c r="B32" s="3">
        <v>387</v>
      </c>
      <c r="C32" s="3">
        <v>343</v>
      </c>
      <c r="D32" s="3">
        <v>2214</v>
      </c>
      <c r="E32" s="2">
        <f t="shared" si="4"/>
        <v>343</v>
      </c>
      <c r="F32" s="2" t="str">
        <f t="shared" si="5"/>
        <v>Birmingham, Alabama</v>
      </c>
      <c r="G32" s="1">
        <f t="shared" si="6"/>
        <v>1066.73</v>
      </c>
      <c r="H32" s="1">
        <f t="shared" si="7"/>
        <v>1066.73</v>
      </c>
    </row>
    <row r="33" spans="1:8" x14ac:dyDescent="0.25">
      <c r="A33" s="3">
        <v>2233</v>
      </c>
      <c r="B33" s="3">
        <v>262</v>
      </c>
      <c r="C33" s="3">
        <v>597</v>
      </c>
      <c r="D33" s="3">
        <v>2269</v>
      </c>
      <c r="E33" s="2">
        <f t="shared" si="4"/>
        <v>262</v>
      </c>
      <c r="F33" s="2" t="str">
        <f t="shared" si="5"/>
        <v>Milwaukee, Wisconsin</v>
      </c>
      <c r="G33" s="1">
        <f t="shared" si="6"/>
        <v>814.81999999999994</v>
      </c>
      <c r="H33" s="1">
        <f t="shared" si="7"/>
        <v>814.81999999999994</v>
      </c>
    </row>
    <row r="34" spans="1:8" x14ac:dyDescent="0.25">
      <c r="A34" s="3">
        <v>1832</v>
      </c>
      <c r="B34" s="3">
        <v>244</v>
      </c>
      <c r="C34" s="3">
        <v>782</v>
      </c>
      <c r="D34" s="3">
        <v>1919</v>
      </c>
      <c r="E34" s="2">
        <f t="shared" si="4"/>
        <v>244</v>
      </c>
      <c r="F34" s="2" t="str">
        <f t="shared" si="5"/>
        <v>Milwaukee, Wisconsin</v>
      </c>
      <c r="G34" s="1">
        <f t="shared" si="6"/>
        <v>758.83999999999992</v>
      </c>
      <c r="H34" s="1">
        <f t="shared" si="7"/>
        <v>758.83999999999992</v>
      </c>
    </row>
    <row r="35" spans="1:8" x14ac:dyDescent="0.25">
      <c r="A35" s="3">
        <v>1842</v>
      </c>
      <c r="B35" s="3">
        <v>576</v>
      </c>
      <c r="C35" s="3">
        <v>695</v>
      </c>
      <c r="D35" s="3">
        <v>1802</v>
      </c>
      <c r="E35" s="2">
        <f t="shared" si="4"/>
        <v>576</v>
      </c>
      <c r="F35" s="2" t="str">
        <f t="shared" si="5"/>
        <v>Milwaukee, Wisconsin</v>
      </c>
      <c r="G35" s="1">
        <f t="shared" si="6"/>
        <v>1791.36</v>
      </c>
      <c r="H35" s="1">
        <f t="shared" si="7"/>
        <v>1791.36</v>
      </c>
    </row>
    <row r="36" spans="1:8" x14ac:dyDescent="0.25">
      <c r="A36" s="3">
        <v>1848</v>
      </c>
      <c r="B36" s="3">
        <v>630</v>
      </c>
      <c r="C36" s="3">
        <v>748</v>
      </c>
      <c r="D36" s="3">
        <v>1776</v>
      </c>
      <c r="E36" s="2">
        <f t="shared" si="4"/>
        <v>630</v>
      </c>
      <c r="F36" s="2" t="str">
        <f t="shared" si="5"/>
        <v>Milwaukee, Wisconsin</v>
      </c>
      <c r="G36" s="1">
        <f t="shared" si="6"/>
        <v>1959.3</v>
      </c>
      <c r="H36" s="1">
        <f t="shared" si="7"/>
        <v>1959.3</v>
      </c>
    </row>
    <row r="37" spans="1:8" x14ac:dyDescent="0.25">
      <c r="A37" s="3">
        <v>2406</v>
      </c>
      <c r="B37" s="3">
        <v>468</v>
      </c>
      <c r="C37" s="3">
        <v>411</v>
      </c>
      <c r="D37" s="3">
        <v>2383</v>
      </c>
      <c r="E37" s="2">
        <f t="shared" si="4"/>
        <v>411</v>
      </c>
      <c r="F37" s="2" t="str">
        <f t="shared" si="5"/>
        <v>Birmingham, Alabama</v>
      </c>
      <c r="G37" s="1">
        <f t="shared" si="6"/>
        <v>1278.21</v>
      </c>
      <c r="H37" s="1">
        <f t="shared" si="7"/>
        <v>1278.21</v>
      </c>
    </row>
    <row r="38" spans="1:8" x14ac:dyDescent="0.25">
      <c r="A38" s="3">
        <v>2340</v>
      </c>
      <c r="B38" s="3">
        <v>401</v>
      </c>
      <c r="C38" s="3">
        <v>363</v>
      </c>
      <c r="D38" s="3">
        <v>2317</v>
      </c>
      <c r="E38" s="2">
        <f t="shared" si="4"/>
        <v>363</v>
      </c>
      <c r="F38" s="2" t="str">
        <f t="shared" si="5"/>
        <v>Birmingham, Alabama</v>
      </c>
      <c r="G38" s="1">
        <f t="shared" si="6"/>
        <v>1128.93</v>
      </c>
      <c r="H38" s="1">
        <f t="shared" si="7"/>
        <v>1128.93</v>
      </c>
    </row>
    <row r="39" spans="1:8" x14ac:dyDescent="0.25">
      <c r="A39" s="3">
        <v>2617</v>
      </c>
      <c r="B39" s="3">
        <v>1016</v>
      </c>
      <c r="C39" s="3">
        <v>344</v>
      </c>
      <c r="D39" s="3">
        <v>2265</v>
      </c>
      <c r="E39" s="2">
        <f t="shared" si="4"/>
        <v>344</v>
      </c>
      <c r="F39" s="2" t="str">
        <f t="shared" si="5"/>
        <v>Birmingham, Alabama</v>
      </c>
      <c r="G39" s="1">
        <f t="shared" si="6"/>
        <v>1069.8399999999999</v>
      </c>
      <c r="H39" s="1">
        <f t="shared" si="7"/>
        <v>1069.8399999999999</v>
      </c>
    </row>
    <row r="40" spans="1:8" x14ac:dyDescent="0.25">
      <c r="A40" s="3">
        <v>2771</v>
      </c>
      <c r="B40" s="3">
        <v>800</v>
      </c>
      <c r="C40" s="3">
        <v>781</v>
      </c>
      <c r="D40" s="3">
        <v>2808</v>
      </c>
      <c r="E40" s="2">
        <f t="shared" si="4"/>
        <v>781</v>
      </c>
      <c r="F40" s="2" t="str">
        <f t="shared" si="5"/>
        <v>Birmingham, Alabama</v>
      </c>
      <c r="G40" s="1">
        <f t="shared" si="6"/>
        <v>2428.91</v>
      </c>
      <c r="H40" s="1">
        <f t="shared" si="7"/>
        <v>2428.91</v>
      </c>
    </row>
    <row r="41" spans="1:8" x14ac:dyDescent="0.25">
      <c r="A41" s="3">
        <v>2314</v>
      </c>
      <c r="B41" s="3">
        <v>343</v>
      </c>
      <c r="C41" s="3">
        <v>710</v>
      </c>
      <c r="D41" s="3">
        <v>2351</v>
      </c>
      <c r="E41" s="2">
        <f t="shared" si="4"/>
        <v>343</v>
      </c>
      <c r="F41" s="2" t="str">
        <f t="shared" si="5"/>
        <v>Milwaukee, Wisconsin</v>
      </c>
      <c r="G41" s="1">
        <f t="shared" si="6"/>
        <v>1066.73</v>
      </c>
      <c r="H41" s="1">
        <f t="shared" si="7"/>
        <v>1066.73</v>
      </c>
    </row>
    <row r="42" spans="1:8" x14ac:dyDescent="0.25">
      <c r="A42" s="3">
        <v>2352</v>
      </c>
      <c r="B42" s="3">
        <v>381</v>
      </c>
      <c r="C42" s="3">
        <v>722</v>
      </c>
      <c r="D42" s="3">
        <v>2389</v>
      </c>
      <c r="E42" s="2">
        <f t="shared" si="4"/>
        <v>381</v>
      </c>
      <c r="F42" s="2" t="str">
        <f t="shared" si="5"/>
        <v>Milwaukee, Wisconsin</v>
      </c>
      <c r="G42" s="1">
        <f t="shared" si="6"/>
        <v>1184.9099999999999</v>
      </c>
      <c r="H42" s="1">
        <f t="shared" si="7"/>
        <v>1184.9099999999999</v>
      </c>
    </row>
    <row r="43" spans="1:8" x14ac:dyDescent="0.25">
      <c r="A43" s="3">
        <v>1668</v>
      </c>
      <c r="B43" s="3">
        <v>332</v>
      </c>
      <c r="C43" s="3">
        <v>1069</v>
      </c>
      <c r="D43" s="3">
        <v>1970</v>
      </c>
      <c r="E43" s="2">
        <f t="shared" si="4"/>
        <v>332</v>
      </c>
      <c r="F43" s="2" t="str">
        <f t="shared" si="5"/>
        <v>Milwaukee, Wisconsin</v>
      </c>
      <c r="G43" s="1">
        <f t="shared" si="6"/>
        <v>1032.52</v>
      </c>
      <c r="H43" s="1">
        <f t="shared" si="7"/>
        <v>1032.52</v>
      </c>
    </row>
    <row r="44" spans="1:8" x14ac:dyDescent="0.25">
      <c r="A44" s="3">
        <v>1840</v>
      </c>
      <c r="B44" s="3">
        <v>569</v>
      </c>
      <c r="C44" s="3">
        <v>688</v>
      </c>
      <c r="D44" s="3">
        <v>1800</v>
      </c>
      <c r="E44" s="2">
        <f t="shared" si="4"/>
        <v>569</v>
      </c>
      <c r="F44" s="2" t="str">
        <f t="shared" si="5"/>
        <v>Milwaukee, Wisconsin</v>
      </c>
      <c r="G44" s="1">
        <f t="shared" si="6"/>
        <v>1769.59</v>
      </c>
      <c r="H44" s="1">
        <f t="shared" si="7"/>
        <v>1769.59</v>
      </c>
    </row>
    <row r="45" spans="1:8" x14ac:dyDescent="0.25">
      <c r="A45" s="3">
        <v>2089</v>
      </c>
      <c r="B45" s="3">
        <v>375</v>
      </c>
      <c r="C45" s="3">
        <v>500</v>
      </c>
      <c r="D45" s="3">
        <v>2050</v>
      </c>
      <c r="E45" s="2">
        <f t="shared" si="4"/>
        <v>375</v>
      </c>
      <c r="F45" s="2" t="str">
        <f t="shared" si="5"/>
        <v>Milwaukee, Wisconsin</v>
      </c>
      <c r="G45" s="1">
        <f t="shared" si="6"/>
        <v>1166.25</v>
      </c>
      <c r="H45" s="1">
        <f t="shared" si="7"/>
        <v>1166.25</v>
      </c>
    </row>
    <row r="46" spans="1:8" x14ac:dyDescent="0.25">
      <c r="A46" s="3">
        <v>1659</v>
      </c>
      <c r="B46" s="3">
        <v>508</v>
      </c>
      <c r="C46" s="3">
        <v>869</v>
      </c>
      <c r="D46" s="3">
        <v>1661</v>
      </c>
      <c r="E46" s="2">
        <f t="shared" si="4"/>
        <v>508</v>
      </c>
      <c r="F46" s="2" t="str">
        <f t="shared" si="5"/>
        <v>Milwaukee, Wisconsin</v>
      </c>
      <c r="G46" s="1">
        <f t="shared" si="6"/>
        <v>1579.8799999999999</v>
      </c>
      <c r="H46" s="1">
        <f t="shared" si="7"/>
        <v>1579.8799999999999</v>
      </c>
    </row>
    <row r="47" spans="1:8" x14ac:dyDescent="0.25">
      <c r="A47" s="3">
        <v>1145</v>
      </c>
      <c r="B47" s="3">
        <v>1806</v>
      </c>
      <c r="C47" s="3">
        <v>1799</v>
      </c>
      <c r="D47" s="3">
        <v>568</v>
      </c>
      <c r="E47" s="2">
        <f t="shared" si="4"/>
        <v>568</v>
      </c>
      <c r="F47" s="2" t="str">
        <f t="shared" si="5"/>
        <v>Oakland, California</v>
      </c>
      <c r="G47" s="1">
        <f t="shared" si="6"/>
        <v>1766.48</v>
      </c>
      <c r="H47" s="1">
        <f t="shared" si="7"/>
        <v>1766.48</v>
      </c>
    </row>
    <row r="48" spans="1:8" x14ac:dyDescent="0.25">
      <c r="A48" s="3">
        <v>738</v>
      </c>
      <c r="B48" s="3">
        <v>1964</v>
      </c>
      <c r="C48" s="3">
        <v>2267</v>
      </c>
      <c r="D48" s="3">
        <v>256</v>
      </c>
      <c r="E48" s="2">
        <f t="shared" si="4"/>
        <v>256</v>
      </c>
      <c r="F48" s="2" t="str">
        <f t="shared" si="5"/>
        <v>Oakland, California</v>
      </c>
      <c r="G48" s="1">
        <f t="shared" si="6"/>
        <v>796.16</v>
      </c>
      <c r="H48" s="1">
        <f t="shared" si="7"/>
        <v>796.16</v>
      </c>
    </row>
    <row r="49" spans="1:8" x14ac:dyDescent="0.25">
      <c r="A49" s="3">
        <v>3087</v>
      </c>
      <c r="B49" s="3">
        <v>1116</v>
      </c>
      <c r="C49" s="3">
        <v>1214</v>
      </c>
      <c r="D49" s="3">
        <v>3124</v>
      </c>
      <c r="E49" s="2">
        <f t="shared" si="4"/>
        <v>1116</v>
      </c>
      <c r="F49" s="2" t="str">
        <f t="shared" si="5"/>
        <v>Milwaukee, Wisconsin</v>
      </c>
      <c r="G49" s="1">
        <f t="shared" si="6"/>
        <v>3470.7599999999998</v>
      </c>
      <c r="H49" s="1">
        <f t="shared" si="7"/>
        <v>3470.7599999999998</v>
      </c>
    </row>
    <row r="50" spans="1:8" x14ac:dyDescent="0.25">
      <c r="A50" s="3">
        <v>2857</v>
      </c>
      <c r="B50" s="3">
        <v>886</v>
      </c>
      <c r="C50" s="3">
        <v>950</v>
      </c>
      <c r="D50" s="3">
        <v>2894</v>
      </c>
      <c r="E50" s="2">
        <f t="shared" si="4"/>
        <v>886</v>
      </c>
      <c r="F50" s="2" t="str">
        <f t="shared" si="5"/>
        <v>Milwaukee, Wisconsin</v>
      </c>
      <c r="G50" s="1">
        <f t="shared" si="6"/>
        <v>2755.46</v>
      </c>
      <c r="H50" s="1">
        <f t="shared" si="7"/>
        <v>2755.46</v>
      </c>
    </row>
    <row r="51" spans="1:8" x14ac:dyDescent="0.25">
      <c r="A51" s="3">
        <v>2860</v>
      </c>
      <c r="B51" s="3">
        <v>889</v>
      </c>
      <c r="C51" s="3">
        <v>959</v>
      </c>
      <c r="D51" s="3">
        <v>2896</v>
      </c>
      <c r="E51" s="2">
        <f t="shared" si="4"/>
        <v>889</v>
      </c>
      <c r="F51" s="2" t="str">
        <f t="shared" si="5"/>
        <v>Milwaukee, Wisconsin</v>
      </c>
      <c r="G51" s="1">
        <f t="shared" si="6"/>
        <v>2764.79</v>
      </c>
      <c r="H51" s="1">
        <f t="shared" si="7"/>
        <v>2764.79</v>
      </c>
    </row>
    <row r="52" spans="1:8" x14ac:dyDescent="0.25">
      <c r="A52" s="3">
        <v>2852</v>
      </c>
      <c r="B52" s="3">
        <v>881</v>
      </c>
      <c r="C52" s="3">
        <v>952</v>
      </c>
      <c r="D52" s="3">
        <v>2889</v>
      </c>
      <c r="E52" s="2">
        <f t="shared" si="4"/>
        <v>881</v>
      </c>
      <c r="F52" s="2" t="str">
        <f t="shared" si="5"/>
        <v>Milwaukee, Wisconsin</v>
      </c>
      <c r="G52" s="1">
        <f t="shared" si="6"/>
        <v>2739.91</v>
      </c>
      <c r="H52" s="1">
        <f t="shared" si="7"/>
        <v>2739.91</v>
      </c>
    </row>
    <row r="53" spans="1:8" x14ac:dyDescent="0.25">
      <c r="A53" s="3">
        <v>2863</v>
      </c>
      <c r="B53" s="3">
        <v>892</v>
      </c>
      <c r="C53" s="3">
        <v>964</v>
      </c>
      <c r="D53" s="3">
        <v>2900</v>
      </c>
      <c r="E53" s="2">
        <f t="shared" si="4"/>
        <v>892</v>
      </c>
      <c r="F53" s="2" t="str">
        <f t="shared" si="5"/>
        <v>Milwaukee, Wisconsin</v>
      </c>
      <c r="G53" s="1">
        <f t="shared" si="6"/>
        <v>2774.12</v>
      </c>
      <c r="H53" s="1">
        <f t="shared" si="7"/>
        <v>2774.12</v>
      </c>
    </row>
    <row r="54" spans="1:8" x14ac:dyDescent="0.25">
      <c r="A54" s="3">
        <v>2873</v>
      </c>
      <c r="B54" s="3">
        <v>902</v>
      </c>
      <c r="C54" s="3">
        <v>980</v>
      </c>
      <c r="D54" s="3">
        <v>2910</v>
      </c>
      <c r="E54" s="2">
        <f t="shared" si="4"/>
        <v>902</v>
      </c>
      <c r="F54" s="2" t="str">
        <f t="shared" si="5"/>
        <v>Milwaukee, Wisconsin</v>
      </c>
      <c r="G54" s="1">
        <f t="shared" si="6"/>
        <v>2805.22</v>
      </c>
      <c r="H54" s="1">
        <f t="shared" si="7"/>
        <v>2805.22</v>
      </c>
    </row>
    <row r="55" spans="1:8" x14ac:dyDescent="0.25">
      <c r="A55" s="3">
        <v>2876</v>
      </c>
      <c r="B55" s="3">
        <v>905</v>
      </c>
      <c r="C55" s="3">
        <v>543</v>
      </c>
      <c r="D55" s="3">
        <v>2829</v>
      </c>
      <c r="E55" s="2">
        <f t="shared" si="4"/>
        <v>543</v>
      </c>
      <c r="F55" s="2" t="str">
        <f t="shared" si="5"/>
        <v>Birmingham, Alabama</v>
      </c>
      <c r="G55" s="1">
        <f t="shared" si="6"/>
        <v>1688.73</v>
      </c>
      <c r="H55" s="1">
        <f t="shared" si="7"/>
        <v>1688.73</v>
      </c>
    </row>
    <row r="56" spans="1:8" x14ac:dyDescent="0.25">
      <c r="A56" s="3">
        <v>2856</v>
      </c>
      <c r="B56" s="3">
        <v>885</v>
      </c>
      <c r="C56" s="3">
        <v>531</v>
      </c>
      <c r="D56" s="3">
        <v>2808</v>
      </c>
      <c r="E56" s="2">
        <f t="shared" si="4"/>
        <v>531</v>
      </c>
      <c r="F56" s="2" t="str">
        <f t="shared" si="5"/>
        <v>Birmingham, Alabama</v>
      </c>
      <c r="G56" s="1">
        <f t="shared" si="6"/>
        <v>1651.4099999999999</v>
      </c>
      <c r="H56" s="1">
        <f t="shared" si="7"/>
        <v>1651.4099999999999</v>
      </c>
    </row>
    <row r="57" spans="1:8" x14ac:dyDescent="0.25">
      <c r="A57" s="3">
        <v>2327</v>
      </c>
      <c r="B57" s="3">
        <v>389</v>
      </c>
      <c r="C57" s="3">
        <v>468</v>
      </c>
      <c r="D57" s="3">
        <v>2374</v>
      </c>
      <c r="E57" s="2">
        <f t="shared" si="4"/>
        <v>389</v>
      </c>
      <c r="F57" s="2" t="str">
        <f t="shared" si="5"/>
        <v>Milwaukee, Wisconsin</v>
      </c>
      <c r="G57" s="1">
        <f t="shared" si="6"/>
        <v>1209.79</v>
      </c>
      <c r="H57" s="1">
        <f t="shared" si="7"/>
        <v>1209.79</v>
      </c>
    </row>
    <row r="58" spans="1:8" x14ac:dyDescent="0.25">
      <c r="A58" s="3">
        <v>2417</v>
      </c>
      <c r="B58" s="3">
        <v>446</v>
      </c>
      <c r="C58" s="3">
        <v>712</v>
      </c>
      <c r="D58" s="3">
        <v>2453</v>
      </c>
      <c r="E58" s="2">
        <f t="shared" si="4"/>
        <v>446</v>
      </c>
      <c r="F58" s="2" t="str">
        <f t="shared" si="5"/>
        <v>Milwaukee, Wisconsin</v>
      </c>
      <c r="G58" s="1">
        <f t="shared" si="6"/>
        <v>1387.06</v>
      </c>
      <c r="H58" s="1">
        <f t="shared" si="7"/>
        <v>1387.06</v>
      </c>
    </row>
    <row r="59" spans="1:8" x14ac:dyDescent="0.25">
      <c r="A59" s="3">
        <v>2007</v>
      </c>
      <c r="B59" s="3">
        <v>892</v>
      </c>
      <c r="C59" s="3">
        <v>705</v>
      </c>
      <c r="D59" s="3">
        <v>1639</v>
      </c>
      <c r="E59" s="2">
        <f t="shared" si="4"/>
        <v>705</v>
      </c>
      <c r="F59" s="2" t="str">
        <f t="shared" si="5"/>
        <v>Birmingham, Alabama</v>
      </c>
      <c r="G59" s="1">
        <f t="shared" si="6"/>
        <v>2192.5499999999997</v>
      </c>
      <c r="H59" s="1">
        <f t="shared" si="7"/>
        <v>2192.5499999999997</v>
      </c>
    </row>
    <row r="60" spans="1:8" x14ac:dyDescent="0.25">
      <c r="A60" s="3">
        <v>2000</v>
      </c>
      <c r="B60" s="3">
        <v>773</v>
      </c>
      <c r="C60" s="3">
        <v>639</v>
      </c>
      <c r="D60" s="3">
        <v>1718</v>
      </c>
      <c r="E60" s="2">
        <f t="shared" si="4"/>
        <v>639</v>
      </c>
      <c r="F60" s="2" t="str">
        <f t="shared" si="5"/>
        <v>Birmingham, Alabama</v>
      </c>
      <c r="G60" s="1">
        <f t="shared" si="6"/>
        <v>1987.29</v>
      </c>
      <c r="H60" s="1">
        <f t="shared" si="7"/>
        <v>1987.29</v>
      </c>
    </row>
    <row r="61" spans="1:8" x14ac:dyDescent="0.25">
      <c r="A61" s="3">
        <v>278</v>
      </c>
      <c r="B61" s="3">
        <v>2173</v>
      </c>
      <c r="C61" s="3">
        <v>2494</v>
      </c>
      <c r="D61" s="3">
        <v>523</v>
      </c>
      <c r="E61" s="2">
        <f t="shared" si="4"/>
        <v>278</v>
      </c>
      <c r="F61" s="2" t="str">
        <f t="shared" si="5"/>
        <v>Seattle, Washington</v>
      </c>
      <c r="G61" s="1">
        <f t="shared" si="6"/>
        <v>864.57999999999993</v>
      </c>
      <c r="H61" s="1">
        <f t="shared" si="7"/>
        <v>864.57999999999993</v>
      </c>
    </row>
    <row r="62" spans="1:8" x14ac:dyDescent="0.25">
      <c r="A62" s="3">
        <v>168</v>
      </c>
      <c r="B62" s="3">
        <v>2065</v>
      </c>
      <c r="C62" s="3">
        <v>2480</v>
      </c>
      <c r="D62" s="3">
        <v>629</v>
      </c>
      <c r="E62" s="2">
        <f t="shared" si="4"/>
        <v>168</v>
      </c>
      <c r="F62" s="2" t="str">
        <f t="shared" si="5"/>
        <v>Seattle, Washington</v>
      </c>
      <c r="G62" s="1">
        <f t="shared" si="6"/>
        <v>522.48</v>
      </c>
      <c r="H62" s="1">
        <f t="shared" si="7"/>
        <v>522.48</v>
      </c>
    </row>
    <row r="63" spans="1:8" x14ac:dyDescent="0.25">
      <c r="A63" s="3">
        <v>2832</v>
      </c>
      <c r="B63" s="3">
        <v>861</v>
      </c>
      <c r="C63" s="3">
        <v>878</v>
      </c>
      <c r="D63" s="3">
        <v>2869</v>
      </c>
      <c r="E63" s="2">
        <f t="shared" si="4"/>
        <v>861</v>
      </c>
      <c r="F63" s="2" t="str">
        <f t="shared" si="5"/>
        <v>Milwaukee, Wisconsin</v>
      </c>
      <c r="G63" s="1">
        <f t="shared" si="6"/>
        <v>2677.71</v>
      </c>
      <c r="H63" s="1">
        <f t="shared" si="7"/>
        <v>2677.71</v>
      </c>
    </row>
    <row r="64" spans="1:8" x14ac:dyDescent="0.25">
      <c r="A64" s="3">
        <v>2535</v>
      </c>
      <c r="B64" s="3">
        <v>564</v>
      </c>
      <c r="C64" s="3">
        <v>753</v>
      </c>
      <c r="D64" s="3">
        <v>2572</v>
      </c>
      <c r="E64" s="2">
        <f t="shared" si="4"/>
        <v>564</v>
      </c>
      <c r="F64" s="2" t="str">
        <f t="shared" si="5"/>
        <v>Milwaukee, Wisconsin</v>
      </c>
      <c r="G64" s="1">
        <f t="shared" si="6"/>
        <v>1754.04</v>
      </c>
      <c r="H64" s="1">
        <f t="shared" si="7"/>
        <v>1754.04</v>
      </c>
    </row>
    <row r="65" spans="1:8" x14ac:dyDescent="0.25">
      <c r="A65" s="3">
        <v>3046</v>
      </c>
      <c r="B65" s="3">
        <v>1075</v>
      </c>
      <c r="C65" s="3">
        <v>1153</v>
      </c>
      <c r="D65" s="3">
        <v>3083</v>
      </c>
      <c r="E65" s="2">
        <f t="shared" si="4"/>
        <v>1075</v>
      </c>
      <c r="F65" s="2" t="str">
        <f t="shared" si="5"/>
        <v>Milwaukee, Wisconsin</v>
      </c>
      <c r="G65" s="1">
        <f t="shared" si="6"/>
        <v>3343.25</v>
      </c>
      <c r="H65" s="1">
        <f t="shared" si="7"/>
        <v>3343.25</v>
      </c>
    </row>
    <row r="66" spans="1:8" x14ac:dyDescent="0.25">
      <c r="A66" s="3">
        <v>2835</v>
      </c>
      <c r="B66" s="3">
        <v>903</v>
      </c>
      <c r="C66" s="3">
        <v>362</v>
      </c>
      <c r="D66" s="3">
        <v>2678</v>
      </c>
      <c r="E66" s="2">
        <f t="shared" si="4"/>
        <v>362</v>
      </c>
      <c r="F66" s="2" t="str">
        <f t="shared" si="5"/>
        <v>Birmingham, Alabama</v>
      </c>
      <c r="G66" s="1">
        <f t="shared" si="6"/>
        <v>1125.82</v>
      </c>
      <c r="H66" s="1">
        <f t="shared" si="7"/>
        <v>1125.82</v>
      </c>
    </row>
    <row r="67" spans="1:8" x14ac:dyDescent="0.25">
      <c r="A67" s="3">
        <v>1478</v>
      </c>
      <c r="B67" s="3">
        <v>497</v>
      </c>
      <c r="C67" s="3">
        <v>1053</v>
      </c>
      <c r="D67" s="3">
        <v>1727</v>
      </c>
      <c r="E67" s="2">
        <f t="shared" si="4"/>
        <v>497</v>
      </c>
      <c r="F67" s="2" t="str">
        <f t="shared" si="5"/>
        <v>Milwaukee, Wisconsin</v>
      </c>
      <c r="G67" s="1">
        <f t="shared" si="6"/>
        <v>1545.6699999999998</v>
      </c>
      <c r="H67" s="1">
        <f t="shared" si="7"/>
        <v>1545.6699999999998</v>
      </c>
    </row>
    <row r="68" spans="1:8" x14ac:dyDescent="0.25">
      <c r="A68" s="3">
        <v>2359</v>
      </c>
      <c r="B68" s="3">
        <v>561</v>
      </c>
      <c r="C68" s="3">
        <v>232</v>
      </c>
      <c r="D68" s="3">
        <v>2294</v>
      </c>
      <c r="E68" s="2">
        <f t="shared" si="4"/>
        <v>232</v>
      </c>
      <c r="F68" s="2" t="str">
        <f t="shared" si="5"/>
        <v>Birmingham, Alabama</v>
      </c>
      <c r="G68" s="1">
        <f t="shared" si="6"/>
        <v>721.52</v>
      </c>
      <c r="H68" s="1">
        <f t="shared" si="7"/>
        <v>721.52</v>
      </c>
    </row>
    <row r="69" spans="1:8" x14ac:dyDescent="0.25">
      <c r="A69" s="3">
        <v>2091</v>
      </c>
      <c r="B69" s="3">
        <v>1156</v>
      </c>
      <c r="C69" s="3">
        <v>741</v>
      </c>
      <c r="D69" s="3">
        <v>1744</v>
      </c>
      <c r="E69" s="2">
        <f t="shared" si="4"/>
        <v>741</v>
      </c>
      <c r="F69" s="2" t="str">
        <f t="shared" si="5"/>
        <v>Birmingham, Alabama</v>
      </c>
      <c r="G69" s="1">
        <f t="shared" si="6"/>
        <v>2304.5099999999998</v>
      </c>
      <c r="H69" s="1">
        <f t="shared" si="7"/>
        <v>2304.5099999999998</v>
      </c>
    </row>
    <row r="70" spans="1:8" x14ac:dyDescent="0.25">
      <c r="A70" s="3">
        <v>2219</v>
      </c>
      <c r="B70" s="3">
        <v>1432</v>
      </c>
      <c r="C70" s="3">
        <v>978</v>
      </c>
      <c r="D70" s="3">
        <v>1780</v>
      </c>
      <c r="E70" s="2">
        <f t="shared" si="4"/>
        <v>978</v>
      </c>
      <c r="F70" s="2" t="str">
        <f t="shared" si="5"/>
        <v>Birmingham, Alabama</v>
      </c>
      <c r="G70" s="1">
        <f t="shared" si="6"/>
        <v>3041.58</v>
      </c>
      <c r="H70" s="1">
        <f t="shared" si="7"/>
        <v>3041.58</v>
      </c>
    </row>
    <row r="71" spans="1:8" x14ac:dyDescent="0.25">
      <c r="A71" s="3">
        <v>2123</v>
      </c>
      <c r="B71" s="3">
        <v>1052</v>
      </c>
      <c r="C71" s="3">
        <v>629</v>
      </c>
      <c r="D71" s="3">
        <v>1734</v>
      </c>
      <c r="E71" s="2">
        <f t="shared" si="4"/>
        <v>629</v>
      </c>
      <c r="F71" s="2" t="str">
        <f t="shared" si="5"/>
        <v>Birmingham, Alabama</v>
      </c>
      <c r="G71" s="1">
        <f t="shared" si="6"/>
        <v>1956.1899999999998</v>
      </c>
      <c r="H71" s="1">
        <f t="shared" si="7"/>
        <v>1956.1899999999998</v>
      </c>
    </row>
    <row r="72" spans="1:8" x14ac:dyDescent="0.25">
      <c r="A72" s="3">
        <v>2781</v>
      </c>
      <c r="B72" s="3">
        <v>811</v>
      </c>
      <c r="C72" s="3">
        <v>746</v>
      </c>
      <c r="D72" s="3">
        <v>2818</v>
      </c>
      <c r="E72" s="2">
        <f t="shared" ref="E72:E77" si="8">MIN(A72:D72)</f>
        <v>746</v>
      </c>
      <c r="F72" s="2" t="str">
        <f t="shared" ref="F72:F77" si="9">INDEX($A$4:$D$4,MATCH(E72,A72:D72,0))</f>
        <v>Birmingham, Alabama</v>
      </c>
      <c r="G72" s="1">
        <f t="shared" si="6"/>
        <v>2320.06</v>
      </c>
      <c r="H72" s="1">
        <f t="shared" si="7"/>
        <v>2320.06</v>
      </c>
    </row>
    <row r="73" spans="1:8" x14ac:dyDescent="0.25">
      <c r="A73" s="3">
        <v>2945</v>
      </c>
      <c r="B73" s="3">
        <v>974</v>
      </c>
      <c r="C73" s="3">
        <v>716</v>
      </c>
      <c r="D73" s="3">
        <v>2950</v>
      </c>
      <c r="E73" s="2">
        <f t="shared" si="8"/>
        <v>716</v>
      </c>
      <c r="F73" s="2" t="str">
        <f t="shared" si="9"/>
        <v>Birmingham, Alabama</v>
      </c>
      <c r="G73" s="1">
        <f t="shared" si="6"/>
        <v>2226.7599999999998</v>
      </c>
      <c r="H73" s="1">
        <f t="shared" si="7"/>
        <v>2226.7599999999998</v>
      </c>
    </row>
    <row r="74" spans="1:8" x14ac:dyDescent="0.25">
      <c r="A74" s="3">
        <v>0</v>
      </c>
      <c r="B74" s="3">
        <v>1995</v>
      </c>
      <c r="C74" s="3">
        <v>2525</v>
      </c>
      <c r="D74" s="3">
        <v>796</v>
      </c>
      <c r="E74" s="2">
        <f t="shared" si="8"/>
        <v>0</v>
      </c>
      <c r="F74" s="2" t="str">
        <f t="shared" si="9"/>
        <v>Seattle, Washington</v>
      </c>
      <c r="G74" s="1">
        <f t="shared" si="6"/>
        <v>75</v>
      </c>
      <c r="H74" s="1">
        <f t="shared" si="7"/>
        <v>75</v>
      </c>
    </row>
    <row r="75" spans="1:8" x14ac:dyDescent="0.25">
      <c r="A75" s="3">
        <v>282</v>
      </c>
      <c r="B75" s="3">
        <v>1714</v>
      </c>
      <c r="C75" s="3">
        <v>2244</v>
      </c>
      <c r="D75" s="3">
        <v>864</v>
      </c>
      <c r="E75" s="2">
        <f t="shared" si="8"/>
        <v>282</v>
      </c>
      <c r="F75" s="2" t="str">
        <f t="shared" si="9"/>
        <v>Seattle, Washington</v>
      </c>
      <c r="G75" s="1">
        <f t="shared" si="6"/>
        <v>877.02</v>
      </c>
      <c r="H75" s="1">
        <f t="shared" si="7"/>
        <v>877.02</v>
      </c>
    </row>
    <row r="76" spans="1:8" x14ac:dyDescent="0.25">
      <c r="A76" s="3">
        <v>1934</v>
      </c>
      <c r="B76" s="3">
        <v>121</v>
      </c>
      <c r="C76" s="3">
        <v>878</v>
      </c>
      <c r="D76" s="3">
        <v>2224</v>
      </c>
      <c r="E76" s="2">
        <f t="shared" si="8"/>
        <v>121</v>
      </c>
      <c r="F76" s="2" t="str">
        <f t="shared" si="9"/>
        <v>Milwaukee, Wisconsin</v>
      </c>
      <c r="G76" s="1">
        <f t="shared" ref="G76:G77" si="10">IF(E76*$K$8&lt;$K$9,$K$9,E76*$K$8)</f>
        <v>376.31</v>
      </c>
      <c r="H76" s="1">
        <f t="shared" ref="H76:H77" si="11">MAX(E76*$K$8,$K$9)</f>
        <v>376.31</v>
      </c>
    </row>
    <row r="77" spans="1:8" x14ac:dyDescent="0.25">
      <c r="A77" s="3">
        <v>1927</v>
      </c>
      <c r="B77" s="3">
        <v>74</v>
      </c>
      <c r="C77" s="3">
        <v>811</v>
      </c>
      <c r="D77" s="3">
        <v>2091</v>
      </c>
      <c r="E77" s="2">
        <f t="shared" si="8"/>
        <v>74</v>
      </c>
      <c r="F77" s="2" t="str">
        <f t="shared" si="9"/>
        <v>Milwaukee, Wisconsin</v>
      </c>
      <c r="G77" s="1">
        <f t="shared" si="10"/>
        <v>230.14</v>
      </c>
      <c r="H77" s="1">
        <f t="shared" si="11"/>
        <v>230.14</v>
      </c>
    </row>
  </sheetData>
  <printOptions horizontalCentered="1"/>
  <pageMargins left="0.4" right="0.4" top="0.4" bottom="0.75" header="0.3" footer="0.3"/>
  <pageSetup scale="52" orientation="landscape" r:id="rId1"/>
  <headerFooter>
    <oddFooter>&amp;L&amp;A&amp;RPage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P(1)</vt:lpstr>
      <vt:lpstr>'P(1)'!Print_Area</vt:lpstr>
      <vt:lpstr>'P(1an)'!Print_Area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Ngoc Dinh</cp:lastModifiedBy>
  <dcterms:created xsi:type="dcterms:W3CDTF">2016-05-12T01:14:45Z</dcterms:created>
  <dcterms:modified xsi:type="dcterms:W3CDTF">2018-09-19T15:48:08Z</dcterms:modified>
</cp:coreProperties>
</file>